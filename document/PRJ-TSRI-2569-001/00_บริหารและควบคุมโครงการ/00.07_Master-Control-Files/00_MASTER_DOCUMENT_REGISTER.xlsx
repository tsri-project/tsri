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cfe4b2f6d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ควบคุม" sheetId="1" r:id="R226c01f868b94d64"/>
    <x:sheet xmlns:r="http://schemas.openxmlformats.org/officeDocument/2006/relationships" name="ทะเบียนเอกสาร" sheetId="2" r:id="R156e4b2d2f10470e"/>
    <x:sheet xmlns:r="http://schemas.openxmlformats.org/officeDocument/2006/relationships" name="Data Dictionary" sheetId="3" r:id="R2c77e342899d4833"/>
    <x:sheet xmlns:r="http://schemas.openxmlformats.org/officeDocument/2006/relationships" name="Lookups" sheetId="4" r:id="R79aae179ff96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#,##0"/>
  </x:numFmts>
  <x:fonts count="7">
    <x:font>
      <x:sz val="11"/>
      <x:name val="Carlito"/>
    </x:font>
    <x:font>
      <x:sz val="10"/>
      <x:color rgb="FF101828"/>
      <x:name val="Arial"/>
    </x:font>
    <x:font>
      <x:b/>
      <x:sz val="16"/>
      <x:color rgb="FF062B63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2"/>
      <x:color rgb="FF1356A3"/>
      <x:name val="Arial"/>
    </x:font>
    <x:font>
      <x:sz val="10"/>
      <x:color rgb="FF34405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62B63"/>
      </x:patternFill>
    </x:fill>
    <x:fill>
      <x:patternFill patternType="solid">
        <x:fgColor rgb="FF168A91"/>
      </x:patternFill>
    </x:fill>
    <x:fill>
      <x:patternFill patternType="solid">
        <x:fgColor rgb="FF1356A3"/>
      </x:patternFill>
    </x:fill>
    <x:fill>
      <x:patternFill patternType="solid">
        <x:fgColor rgb="FFF8FAFC"/>
      </x:patternFill>
    </x:fill>
  </x:fills>
  <x:borders count="1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horizontal="center" vertical="top"/>
    </x:xf>
    <x:xf numFmtId="202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horizontal="center" vertical="center"/>
    </x:xf>
    <x:xf numFmtId="202" fontId="5" fillId="0" borderId="8" xfId="0" applyNumberFormat="1" applyFont="1" applyFill="1" applyBorder="1" applyAlignment="1">
      <x:alignment horizontal="center" vertical="center"/>
    </x:xf>
    <x:xf numFmtId="202" fontId="5" fillId="0" borderId="1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11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12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3" xfId="0" applyNumberFormat="1" applyFont="1" applyFill="1" applyBorder="1"/>
    <x:xf numFmtId="0" fontId="6" fillId="5" borderId="10" xfId="0" applyNumberFormat="1" applyFont="1" applyFill="1" applyBorder="1"/>
    <x:xf numFmtId="0" fontId="6" fillId="5" borderId="5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3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1356A3"/>
      </x:font>
      <x:fill>
        <x:patternFill patternType="solid">
          <x:bgColor rgb="FFEAF4FB"/>
        </x:patternFill>
      </x:fill>
    </x:dxf>
    <x:dxf>
      <x:font>
        <x:b/>
        <x:color rgb="FF9A3412"/>
      </x:font>
      <x:fill>
        <x:patternFill patternType="solid">
          <x:bgColor rgb="FFFFF1E8"/>
        </x:patternFill>
      </x:fill>
    </x:dxf>
    <x:dxf>
      <x:font>
        <x:b/>
        <x:color rgb="FF9A3412"/>
      </x:font>
      <x:fill>
        <x:patternFill patternType="solid">
          <x:bgColor rgb="FFFFF1E8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3412"/>
      </x:font>
      <x:fill>
        <x:patternFill patternType="solid">
          <x:bgColor rgb="FFF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4f66acb0a40cf" /><Relationship Type="http://schemas.openxmlformats.org/officeDocument/2006/relationships/theme" Target="/xl/theme/theme1.xml" Id="R9a81bbdc20b74741" /><Relationship Type="http://schemas.openxmlformats.org/officeDocument/2006/relationships/sharedStrings" Target="/xl/sharedStrings.xml" Id="Re39a1004edd84e9e" /><Relationship Type="http://schemas.openxmlformats.org/officeDocument/2006/relationships/worksheet" Target="/xl/worksheets/sheet1.xml" Id="R226c01f868b94d64" /><Relationship Type="http://schemas.openxmlformats.org/officeDocument/2006/relationships/worksheet" Target="/xl/worksheets/sheet2.xml" Id="R156e4b2d2f10470e" /><Relationship Type="http://schemas.openxmlformats.org/officeDocument/2006/relationships/worksheet" Target="/xl/worksheets/sheet3.xml" Id="R2c77e342899d4833" /><Relationship Type="http://schemas.openxmlformats.org/officeDocument/2006/relationships/worksheet" Target="/xl/worksheets/sheet4.xml" Id="R79aae179ff964b77" /></Relationships>
</file>

<file path=xl/tables/table1.xml><?xml version="1.0" encoding="utf-8"?>
<x:table xmlns:x="http://schemas.openxmlformats.org/spreadsheetml/2006/main" id="1" name="MasterDocumentRegister" displayName="MasterDocumentRegister" ref="A4:AH29" headerRowCount="1" totalsRowCount="0" totalsRowShown="0">
  <x:autoFilter ref="A4:AH29"/>
  <x:tableColumns count="34">
    <x:tableColumn id="1" name="Record_No"/>
    <x:tableColumn id="2" name="DOC_ID"/>
    <x:tableColumn id="3" name="Document_Type"/>
    <x:tableColumn id="4" name="Official_Title_TH"/>
    <x:tableColumn id="5" name="Short_Title"/>
    <x:tableColumn id="6" name="Issuing_Authority"/>
    <x:tableColumn id="7" name="Document_Number"/>
    <x:tableColumn id="8" name="Document_Date"/>
    <x:tableColumn id="9" name="Year_BE"/>
    <x:tableColumn id="10" name="Publication_Date"/>
    <x:tableColumn id="11" name="Effective_Date"/>
    <x:tableColumn id="12" name="Source_Version"/>
    <x:tableColumn id="13" name="Register_Record_Version"/>
    <x:tableColumn id="14" name="Document_Status"/>
    <x:tableColumn id="15" name="Source_Verification"/>
    <x:tableColumn id="16" name="Legal_Effect_Status"/>
    <x:tableColumn id="17" name="Related_Workstream"/>
    <x:tableColumn id="18" name="Parent_DOC_ID"/>
    <x:tableColumn id="19" name="Amends_DOC_ID"/>
    <x:tableColumn id="20" name="Supersedes_DOC_ID"/>
    <x:tableColumn id="21" name="Official_Source_Reference"/>
    <x:tableColumn id="22" name="Original_File_Name"/>
    <x:tableColumn id="23" name="Workspace_File_Name"/>
    <x:tableColumn id="24" name="File_Format"/>
    <x:tableColumn id="25" name="Page_Count"/>
    <x:tableColumn id="26" name="File_Size_Bytes"/>
    <x:tableColumn id="27" name="SHA256"/>
    <x:tableColumn id="28" name="Source_Location"/>
    <x:tableColumn id="29" name="Access_Class"/>
    <x:tableColumn id="30" name="Record_Owner"/>
    <x:tableColumn id="31" name="Intake_Date"/>
    <x:tableColumn id="32" name="Remarks"/>
    <x:tableColumn id="33" name="Duplicate_Check"/>
    <x:tableColumn id="34" name="Required_Field_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3eceadc0cb47d5" /></Relationships>
</file>

<file path=xl/worksheets/sheet1.xml><?xml version="1.0" encoding="utf-8"?>
<x:worksheet xmlns:x="http://schemas.openxmlformats.org/spreadsheetml/2006/main">
  <x:sheetPr>
    <x:tabColor rgb="FF062B63"/>
  </x:sheetPr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" hidden="0" customWidth="1"/>
    <x:col min="4" max="4" width="8" hidden="0" customWidth="1"/>
    <x:col min="5" max="5" width="54" hidden="0" customWidth="1"/>
    <x:col min="6" max="6" width="16" hidden="0" customWidth="1"/>
    <x:col min="7" max="7" width="16" hidden="0" customWidth="1"/>
    <x:col min="8" max="8" width="38" hidden="0" customWidth="1"/>
  </x:cols>
  <x:sheetData>
    <x:row r="1" ht="30" customHeight="1">
      <x:c r="A1" s="2" t="str">
        <x:v>Master Document Register — Control Summary</x:v>
      </x:c>
      <x:c r="B1" s="2"/>
      <x:c r="C1" s="2"/>
      <x:c r="D1" s="2"/>
      <x:c r="E1" s="2"/>
      <x:c r="F1" s="2"/>
      <x:c r="G1" s="2"/>
      <x:c r="H1" s="2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2" customHeight="1">
      <x:c r="A2" s="4" t="str">
        <x:v>PRJ-TSRI-2569-001 | ข้อมูลตั้งต้นจากเอกสารที่รับเข้า 25 รายการ</x:v>
      </x:c>
      <x:c r="B2" s="4"/>
      <x:c r="C2" s="4"/>
      <x:c r="D2" s="4"/>
      <x:c r="E2" s="4"/>
      <x:c r="F2" s="4"/>
      <x:c r="G2" s="4"/>
      <x:c r="H2" s="4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6" customHeight="1">
      <x:c r="A4" s="29" t="str">
        <x:v>ตัวชี้วัดควบคุม</x:v>
      </x:c>
      <x:c r="B4" s="29" t="str">
        <x:v>ค่า</x:v>
      </x:c>
      <x:c r="C4" s="1"/>
      <x:c r="D4" s="53" t="str">
        <x:v>ประเด็นควบคุมก่อน G1 — Source Verification</x:v>
      </x:c>
      <x:c r="E4" s="53"/>
      <x:c r="F4" s="53"/>
      <x:c r="G4" s="53"/>
      <x:c r="H4" s="53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48" customHeight="1">
      <x:c r="A5" s="36" t="str">
        <x:v>จำนวนเอกสารทั้งหมด</x:v>
      </x:c>
      <x:c r="B5" s="48" t="n">
        <x:f>COUNTA('ทะเบียนเอกสาร'!$B$5:$B$29)</x:f>
        <x:v>25</x:v>
      </x:c>
      <x:c r="C5" s="1"/>
      <x:c r="D5" s="75" t="str">
        <x:v>1</x:v>
      </x:c>
      <x:c r="E5" s="67" t="str">
        <x:v>ตรวจชื่อทางการ วันที่ประกาศ วันใช้บังคับ และแหล่งเผยแพร่ของรายการที่ยังเป็น SOURCE NOT VERIFIED</x:v>
      </x:c>
      <x:c r="F5" s="67" t="str">
        <x:v>WS02</x:v>
      </x:c>
      <x:c r="G5" s="67" t="str">
        <x:v>IN_PROGRESS</x:v>
      </x:c>
      <x:c r="H5" s="68" t="str">
        <x:v>ห้ามเปลี่ยน Gate จนหลักฐานครบ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 ht="48" customHeight="1">
      <x:c r="A6" s="38" t="str">
        <x:v>เอกสารกฎหมาย/ระเบียบ/ประกาศ</x:v>
      </x:c>
      <x:c r="B6" s="49" t="n">
        <x:f>COUNTIF('ทะเบียนเอกสาร'!$C$5:$C$29,"LAW")+COUNTIF('ทะเบียนเอกสาร'!$C$5:$C$29,"REG")+COUNTIF('ทะเบียนเอกสาร'!$C$5:$C$29,"ANN")</x:f>
        <x:v>20</x:v>
      </x:c>
      <x:c r="C6" s="1"/>
      <x:c r="D6" s="76" t="str">
        <x:v>2</x:v>
      </x:c>
      <x:c r="E6" s="70" t="str">
        <x:v>ยืนยันสถานะรายงานประชุมว่าได้รับรองแล้วหรือยัง</x:v>
      </x:c>
      <x:c r="F6" s="70" t="str">
        <x:v>WS01</x:v>
      </x:c>
      <x:c r="G6" s="70" t="str">
        <x:v>PENDING</x:v>
      </x:c>
      <x:c r="H6" s="71" t="str">
        <x:v>มีผลต่อการใช้ MOM เป็น Source of Truth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 ht="48" customHeight="1">
      <x:c r="A7" s="38" t="str">
        <x:v>เอกสารโครงการ</x:v>
      </x:c>
      <x:c r="B7" s="49" t="n">
        <x:f>COUNTIF('ทะเบียนเอกสาร'!$C$5:$C$29,"TOR")+COUNTIF('ทะเบียนเอกสาร'!$C$5:$C$29,"ORD")+COUNTIF('ทะเบียนเอกสาร'!$C$5:$C$29,"MOM")</x:f>
        <x:v>3</x:v>
      </x:c>
      <x:c r="C7" s="1"/>
      <x:c r="D7" s="76" t="str">
        <x:v>3</x:v>
      </x:c>
      <x:c r="E7" s="70" t="str">
        <x:v>ตรวจความหมายของ Source Version 0.1 ที่ติดมากับไฟล์กฎหมายทางการ</x:v>
      </x:c>
      <x:c r="F7" s="70" t="str">
        <x:v>WS01;WS02</x:v>
      </x:c>
      <x:c r="G7" s="70" t="str">
        <x:v>PENDING</x:v>
      </x:c>
      <x:c r="H7" s="71" t="str">
        <x:v>ไม่ใช้ Version ไฟล์แทน Legal Effect Status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 ht="48" customHeight="1">
      <x:c r="A8" s="38" t="str">
        <x:v>เอกสารภายในประเภท GUIDE</x:v>
      </x:c>
      <x:c r="B8" s="49" t="n">
        <x:f>COUNTIF('ทะเบียนเอกสาร'!$C$5:$C$29,"GUIDE")</x:f>
        <x:v>2</x:v>
      </x:c>
      <x:c r="C8" s="1"/>
      <x:c r="D8" s="76" t="str">
        <x:v>4</x:v>
      </x:c>
      <x:c r="E8" s="70" t="str">
        <x:v>ยืนยัน DOC-ID ใหม่ของเอกสาร GUIDE จำนวน 2 รายการ</x:v>
      </x:c>
      <x:c r="F8" s="70" t="str">
        <x:v>WS01;WS07</x:v>
      </x:c>
      <x:c r="G8" s="70" t="str">
        <x:v>PENDING</x:v>
      </x:c>
      <x:c r="H8" s="71" t="str">
        <x:v>ตรวจ Duplicate ก่อนอนุมัติ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 ht="48" customHeight="1">
      <x:c r="A9" s="38" t="str">
        <x:v>สถานะ INDEXED</x:v>
      </x:c>
      <x:c r="B9" s="49" t="n">
        <x:f>COUNTIF('ทะเบียนเอกสาร'!$N$5:$N$29,"INDEXED")</x:f>
        <x:v>25</x:v>
      </x:c>
      <x:c r="C9" s="1"/>
      <x:c r="D9" s="77" t="str">
        <x:v>5</x:v>
      </x:c>
      <x:c r="E9" s="73" t="str">
        <x:v>แก้ชื่อไฟล์ REG-NSC-001-2562 ที่มี .pdf.pdf หลังอนุมัติ Naming Governance</x:v>
      </x:c>
      <x:c r="F9" s="73" t="str">
        <x:v>WS01</x:v>
      </x:c>
      <x:c r="G9" s="73" t="str">
        <x:v>PENDING</x:v>
      </x:c>
      <x:c r="H9" s="74" t="str">
        <x:v>ยังไม่แก้ไฟล์ต้นทางใน STEP 4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 ht="24" customHeight="1">
      <x:c r="A10" s="38" t="str">
        <x:v>SOURCE NOT VERIFIED</x:v>
      </x:c>
      <x:c r="B10" s="49" t="n">
        <x:f>COUNTIF('ทะเบียนเอกสาร'!$O$5:$O$29,"SOURCE NOT VERIFIED")</x:f>
        <x:v>25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 ht="24" customHeight="1">
      <x:c r="A11" s="38" t="str">
        <x:v>DOC-ID ซ้ำ</x:v>
      </x:c>
      <x:c r="B11" s="49" t="n">
        <x:f>COUNTIF('ทะเบียนเอกสาร'!$AG$5:$AG$29,"DUPLICATE")</x:f>
        <x:v>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 ht="24" customHeight="1">
      <x:c r="A12" s="40" t="str">
        <x:v>ขาด Required Field</x:v>
      </x:c>
      <x:c r="B12" s="50" t="n">
        <x:f>COUNTIF('ทะเบียนเอกสาร'!$AH$5:$AH$29,"MISSING REQUIRED FIELD")</x:f>
        <x:v>0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 ht="24" customHeight="1">
      <x:c r="A14" s="79" t="str">
        <x:v>หลักการใช้ไฟล์</x:v>
      </x:c>
      <x:c r="B14" s="79"/>
      <x:c r="C14" s="79"/>
      <x:c r="D14" s="79"/>
      <x:c r="E14" s="79"/>
      <x:c r="F14" s="79"/>
      <x:c r="G14" s="79"/>
      <x:c r="H14" s="79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 ht="28" customHeight="1">
      <x:c r="A15" s="91" t="str">
        <x:v>ทะเบียนนี้เป็น Register Version 0.1 และลงสถานะเอกสารทั้งหมดเป็น INDEXED เท่านั้น</x:v>
      </x:c>
      <x:c r="B15" s="92"/>
      <x:c r="C15" s="92"/>
      <x:c r="D15" s="92"/>
      <x:c r="E15" s="92"/>
      <x:c r="F15" s="92"/>
      <x:c r="G15" s="92"/>
      <x:c r="H15" s="93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 ht="28" customHeight="1">
      <x:c r="A16" s="94" t="str">
        <x:v>SOURCE NOT VERIFIED หมายถึงยังไม่ได้ยืนยันแหล่งเผยแพร่/สถานะการใช้บังคับจากแหล่งทางการภายนอกไฟล์รับเข้า</x:v>
      </x:c>
      <x:c r="B16" s="95"/>
      <x:c r="C16" s="95"/>
      <x:c r="D16" s="95"/>
      <x:c r="E16" s="95"/>
      <x:c r="F16" s="95"/>
      <x:c r="G16" s="95"/>
      <x:c r="H16" s="96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 ht="28" customHeight="1">
      <x:c r="A17" s="94" t="str">
        <x:v>Legal Effect Status ต้องไม่อนุมานจากชื่อไฟล์ วันที่แก้ไขไฟล์ หรือเลข Version</x:v>
      </x:c>
      <x:c r="B17" s="95"/>
      <x:c r="C17" s="95"/>
      <x:c r="D17" s="95"/>
      <x:c r="E17" s="95"/>
      <x:c r="F17" s="95"/>
      <x:c r="G17" s="95"/>
      <x:c r="H17" s="96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 ht="28" customHeight="1">
      <x:c r="A18" s="97" t="str">
        <x:v>รายการแก้ไขเพิ่มเติมต้องวิเคราะห์ร่วมกับฉบับหลักใน STEP 5 Legal Inventory</x:v>
      </x:c>
      <x:c r="B18" s="98"/>
      <x:c r="C18" s="98"/>
      <x:c r="D18" s="98"/>
      <x:c r="E18" s="98"/>
      <x:c r="F18" s="98"/>
      <x:c r="G18" s="98"/>
      <x:c r="H18" s="99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</x:sheetData>
  <x:mergeCells>
    <x:mergeCell ref="A1:H1"/>
    <x:mergeCell ref="A2:H2"/>
    <x:mergeCell ref="D4:H4"/>
    <x:mergeCell ref="A14:H14"/>
    <x:mergeCell ref="A15:H15"/>
    <x:mergeCell ref="A16:H16"/>
    <x:mergeCell ref="A17:H17"/>
    <x:mergeCell ref="A18:H18"/>
  </x:mergeCells>
  <x:conditionalFormatting sqref="G5:G9">
    <x:cfRule type="containsText" dxfId="5" priority="1" operator="containsText" text="PEND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356A3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54" hidden="0" customWidth="1"/>
    <x:col min="5" max="5" width="38" hidden="0" customWidth="1"/>
    <x:col min="6" max="6" width="40" hidden="0" customWidth="1"/>
    <x:col min="7" max="7" width="18" hidden="0" customWidth="1"/>
    <x:col min="8" max="8" width="14" hidden="0" customWidth="1"/>
    <x:col min="9" max="9" width="10" hidden="0" customWidth="1"/>
    <x:col min="10" max="10" width="14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5" max="15" width="22" hidden="0" customWidth="1"/>
    <x:col min="16" max="16" width="22" hidden="0" customWidth="1"/>
    <x:col min="17" max="17" width="20" hidden="0" customWidth="1"/>
    <x:col min="18" max="18" width="25" hidden="0" customWidth="1"/>
    <x:col min="19" max="19" width="22" hidden="0" customWidth="1"/>
    <x:col min="20" max="20" width="44" hidden="0" customWidth="1"/>
    <x:col min="21" max="21" width="52" hidden="0" customWidth="1"/>
    <x:col min="22" max="22" width="44" hidden="0" customWidth="1"/>
    <x:col min="23" max="23" width="12" hidden="0" customWidth="1"/>
    <x:col min="24" max="24" width="12" hidden="0" customWidth="1"/>
    <x:col min="25" max="25" width="16" hidden="0" customWidth="1"/>
    <x:col min="26" max="26" width="22" hidden="0" customWidth="1"/>
    <x:col min="27" max="27" width="44" hidden="0" customWidth="1"/>
    <x:col min="28" max="28" width="14" hidden="0" customWidth="1"/>
    <x:col min="29" max="29" width="20" hidden="0" customWidth="1"/>
    <x:col min="30" max="30" width="14" hidden="0" customWidth="1"/>
    <x:col min="31" max="31" width="60" hidden="0" customWidth="1"/>
    <x:col min="32" max="32" width="16" hidden="0" customWidth="1"/>
    <x:col min="33" max="33" width="18" hidden="0" customWidth="1"/>
    <x:col min="34" max="34" width="26" hidden="0" customWidth="1"/>
  </x:cols>
  <x:sheetData>
    <x:row r="1" ht="28" customHeight="1">
      <x:c r="A1" s="3" t="str">
        <x:v>ทะเบียนเอกสารกลาง (Master Document Register)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2" customHeight="1">
      <x:c r="A2" s="4" t="str">
        <x:v>Project ID: PRJ-TSRI-2569-001 | Register Version 0.1 | วันที่จัดทำ 22/09/2569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42" customHeight="1">
      <x:c r="A4" s="16" t="str">
        <x:v>Record_No</x:v>
      </x:c>
      <x:c r="B4" s="17" t="str">
        <x:v>DOC_ID</x:v>
      </x:c>
      <x:c r="C4" s="17" t="str">
        <x:v>Document_Type</x:v>
      </x:c>
      <x:c r="D4" s="17" t="str">
        <x:v>Official_Title_TH</x:v>
      </x:c>
      <x:c r="E4" s="17" t="str">
        <x:v>Short_Title</x:v>
      </x:c>
      <x:c r="F4" s="17" t="str">
        <x:v>Issuing_Authority</x:v>
      </x:c>
      <x:c r="G4" s="17" t="str">
        <x:v>Document_Number</x:v>
      </x:c>
      <x:c r="H4" s="17" t="str">
        <x:v>Document_Date</x:v>
      </x:c>
      <x:c r="I4" s="17" t="str">
        <x:v>Year_BE</x:v>
      </x:c>
      <x:c r="J4" s="17" t="str">
        <x:v>Publication_Date</x:v>
      </x:c>
      <x:c r="K4" s="17" t="str">
        <x:v>Effective_Date</x:v>
      </x:c>
      <x:c r="L4" s="17" t="str">
        <x:v>Source_Version</x:v>
      </x:c>
      <x:c r="M4" s="17" t="str">
        <x:v>Register_Record_Version</x:v>
      </x:c>
      <x:c r="N4" s="17" t="str">
        <x:v>Document_Status</x:v>
      </x:c>
      <x:c r="O4" s="17" t="str">
        <x:v>Source_Verification</x:v>
      </x:c>
      <x:c r="P4" s="17" t="str">
        <x:v>Legal_Effect_Status</x:v>
      </x:c>
      <x:c r="Q4" s="17" t="str">
        <x:v>Related_Workstream</x:v>
      </x:c>
      <x:c r="R4" s="17" t="str">
        <x:v>Parent_DOC_ID</x:v>
      </x:c>
      <x:c r="S4" s="17" t="str">
        <x:v>Amends_DOC_ID</x:v>
      </x:c>
      <x:c r="T4" s="17" t="str">
        <x:v>Supersedes_DOC_ID</x:v>
      </x:c>
      <x:c r="U4" s="17" t="str">
        <x:v>Official_Source_Reference</x:v>
      </x:c>
      <x:c r="V4" s="17" t="str">
        <x:v>Original_File_Name</x:v>
      </x:c>
      <x:c r="W4" s="17" t="str">
        <x:v>Workspace_File_Name</x:v>
      </x:c>
      <x:c r="X4" s="17" t="str">
        <x:v>File_Format</x:v>
      </x:c>
      <x:c r="Y4" s="17" t="str">
        <x:v>Page_Count</x:v>
      </x:c>
      <x:c r="Z4" s="17" t="str">
        <x:v>File_Size_Bytes</x:v>
      </x:c>
      <x:c r="AA4" s="17" t="str">
        <x:v>SHA256</x:v>
      </x:c>
      <x:c r="AB4" s="17" t="str">
        <x:v>Source_Location</x:v>
      </x:c>
      <x:c r="AC4" s="17" t="str">
        <x:v>Access_Class</x:v>
      </x:c>
      <x:c r="AD4" s="17" t="str">
        <x:v>Record_Owner</x:v>
      </x:c>
      <x:c r="AE4" s="17" t="str">
        <x:v>Intake_Date</x:v>
      </x:c>
      <x:c r="AF4" s="17" t="str">
        <x:v>Remarks</x:v>
      </x:c>
      <x:c r="AG4" s="17" t="str">
        <x:v>Duplicate_Check</x:v>
      </x:c>
      <x:c r="AH4" s="18" t="str">
        <x:v>Required_Field_Check</x:v>
      </x:c>
    </x:row>
    <x:row r="5" ht="64" customHeight="1">
      <x:c r="A5" s="24" t="n">
        <x:v>1</x:v>
      </x:c>
      <x:c r="B5" s="19" t="str">
        <x:v>TOR-PROJ-001-2569</x:v>
      </x:c>
      <x:c r="C5" s="24" t="str">
        <x:v>TOR</x:v>
      </x:c>
      <x:c r="D5" s="20" t="str">
        <x:v>เอกสารแนบท้ายสัญญาโครงการศึกษา วิเคราะห์ และพัฒนาองค์ความรู้ด้านกฎหมาย ระเบียบ และแนวปฏิบัติที่เกี่ยวข้องกับการดำเนินงานของ สกสว.</x:v>
      </x:c>
      <x:c r="E5" s="20" t="str">
        <x:v>เอกสารแนบท้ายสัญญาโครงการ</x:v>
      </x:c>
      <x:c r="F5" s="20" t="str">
        <x:v>คู่สัญญาโครงการ (ต้องยืนยัน)</x:v>
      </x:c>
      <x:c r="G5" s="19" t="str"/>
      <x:c r="H5" s="21"/>
      <x:c r="I5" s="25" t="n">
        <x:v>2569</x:v>
      </x:c>
      <x:c r="J5" s="21"/>
      <x:c r="K5" s="21"/>
      <x:c r="L5" s="24" t="str">
        <x:v>1.0</x:v>
      </x:c>
      <x:c r="M5" s="24" t="str">
        <x:v>0.1</x:v>
      </x:c>
      <x:c r="N5" s="24" t="str">
        <x:v>INDEXED</x:v>
      </x:c>
      <x:c r="O5" s="24" t="str">
        <x:v>SOURCE NOT VERIFIED</x:v>
      </x:c>
      <x:c r="P5" s="24" t="str">
        <x:v>SOURCE NOT VERIFIED</x:v>
      </x:c>
      <x:c r="Q5" s="20" t="str">
        <x:v>WS01</x:v>
      </x:c>
      <x:c r="R5" s="20" t="str"/>
      <x:c r="S5" s="20" t="str"/>
      <x:c r="T5" s="20" t="str"/>
      <x:c r="U5" s="20" t="str">
        <x:v>เอกสารแนบท้ายสัญญา ผนวก 1</x:v>
      </x:c>
      <x:c r="V5" s="20" t="str">
        <x:v>TOR-PROJ-001-2569_เอกสารแนบท้ายสัญญาโครงการศึกษาเชื่อมโยงขอบเขตอำนาจหน้าที่ตามกฎหมาย_v1.0.pdf</x:v>
      </x:c>
      <x:c r="W5" s="24" t="str">
        <x:v>01-TOR-PROJ-001-2569_-_v1.0.pdf</x:v>
      </x:c>
      <x:c r="X5" s="24" t="str">
        <x:v>PDF</x:v>
      </x:c>
      <x:c r="Y5" s="26" t="n">
        <x:v>15</x:v>
      </x:c>
      <x:c r="Z5" s="23" t="n">
        <x:v>198401</x:v>
      </x:c>
      <x:c r="AA5" s="19" t="str">
        <x:v>a67e866c8d60fb6a00af3498d7f2b047ca483ffa18b348a687640dc980c2c91f</x:v>
      </x:c>
      <x:c r="AB5" s="19" t="str">
        <x:v>project_sources/01-TOR-PROJ-001-2569_-_v1.0.pdf</x:v>
      </x:c>
      <x:c r="AC5" s="19" t="str">
        <x:v>INTERNAL</x:v>
      </x:c>
      <x:c r="AD5" s="19" t="str">
        <x:v>TO BE ASSIGNED</x:v>
      </x:c>
      <x:c r="AE5" s="24" t="n">
        <x:v>46287</x:v>
      </x:c>
      <x:c r="AF5" s="27" t="str">
        <x:v>SOURCE FACT: ไฟล์ระบุว่าเป็นเอกสารแนบท้ายสัญญา ผนวก 1; ต้องยืนยันชื่อสัญญาและผู้ลงนามจากชุดสัญญาฉบับเต็ม</x:v>
      </x:c>
      <x:c r="AG5" s="27" t="str">
        <x:f>IF(COUNTIF($B$5:$B$29,B5)&gt;1,"DUPLICATE","OK")</x:f>
        <x:v>OK</x:v>
      </x:c>
      <x:c r="AH5" s="27" t="str">
        <x:f>IF(OR(B5="",C5="",D5="",N5=""),"MISSING REQUIRED FIELD","READY FOR REVIEW")</x:f>
        <x:v>READY FOR REVIEW</x:v>
      </x:c>
    </x:row>
    <x:row r="6" ht="64" customHeight="1">
      <x:c r="A6" s="24" t="n">
        <x:v>2</x:v>
      </x:c>
      <x:c r="B6" s="19" t="str">
        <x:v>ORD-TSRI-001-2569</x:v>
      </x:c>
      <x:c r="C6" s="24" t="str">
        <x:v>ORD</x:v>
      </x:c>
      <x:c r="D6" s="20" t="str">
        <x:v>คำสั่งสำนักงานคณะกรรมการส่งเสริมวิทยาศาสตร์ วิจัยและนวัตกรรม ที่ บค. 7/2569 เรื่อง แต่งตั้งบุคคลตามโครงสร้างตำแหน่ง พ.ศ. 2569</x:v>
      </x:c>
      <x:c r="E6" s="20" t="str">
        <x:v>คำสั่ง สกสว. ที่ บค. 7/2569</x:v>
      </x:c>
      <x:c r="F6" s="20" t="str">
        <x:v>สำนักงานคณะกรรมการส่งเสริมวิทยาศาสตร์ วิจัยและนวัตกรรม</x:v>
      </x:c>
      <x:c r="G6" s="19" t="str">
        <x:v>บค. 7/2569</x:v>
      </x:c>
      <x:c r="H6" s="21"/>
      <x:c r="I6" s="25" t="n">
        <x:v>2569</x:v>
      </x:c>
      <x:c r="J6" s="21"/>
      <x:c r="K6" s="21"/>
      <x:c r="L6" s="24" t="str"/>
      <x:c r="M6" s="24" t="str">
        <x:v>0.1</x:v>
      </x:c>
      <x:c r="N6" s="24" t="str">
        <x:v>INDEXED</x:v>
      </x:c>
      <x:c r="O6" s="24" t="str">
        <x:v>SOURCE NOT VERIFIED</x:v>
      </x:c>
      <x:c r="P6" s="24" t="str">
        <x:v>SOURCE NOT VERIFIED</x:v>
      </x:c>
      <x:c r="Q6" s="20" t="str">
        <x:v>WS01;WS03</x:v>
      </x:c>
      <x:c r="R6" s="20" t="str"/>
      <x:c r="S6" s="20" t="str"/>
      <x:c r="T6" s="20" t="str"/>
      <x:c r="U6" s="20" t="str">
        <x:v>SOURCE NOT VERIFIED</x:v>
      </x:c>
      <x:c r="V6" s="20" t="str">
        <x:v>ORD-TSRI-001-2569_คำสั่ง-สกสว-ที่-บค-7-2569-เรื่องแต่งตั้งบุคคลตามโครงสร้างตำแหน่ง-พ.ศ.-2569.pdf</x:v>
      </x:c>
      <x:c r="W6" s="24" t="str">
        <x:v>02-ORD-TSRI-001-2569_-7-2569-.-.-2569.pdf</x:v>
      </x:c>
      <x:c r="X6" s="24" t="str">
        <x:v>PDF</x:v>
      </x:c>
      <x:c r="Y6" s="26" t="n">
        <x:v>9</x:v>
      </x:c>
      <x:c r="Z6" s="23" t="n">
        <x:v>7780482</x:v>
      </x:c>
      <x:c r="AA6" s="19" t="str">
        <x:v>3b99883c4e246551da75a0b2c015443d7b9fca59435fbe2be80640fc41e5a3dc</x:v>
      </x:c>
      <x:c r="AB6" s="19" t="str">
        <x:v>project_sources/02-ORD-TSRI-001-2569_-7-2569-.-.-2569.pdf</x:v>
      </x:c>
      <x:c r="AC6" s="19" t="str">
        <x:v>INTERNAL</x:v>
      </x:c>
      <x:c r="AD6" s="19" t="str">
        <x:v>TO BE ASSIGNED</x:v>
      </x:c>
      <x:c r="AE6" s="24" t="n">
        <x:v>46287</x:v>
      </x:c>
      <x:c r="AF6" s="27" t="str">
        <x:v>ชื่อเรื่องลงทะเบียนจากชื่อไฟล์; PDF เป็นภาพสแกน ต้องตรวจวันที่ลงนามและข้อความคำสั่ง</x:v>
      </x:c>
      <x:c r="AG6" s="27" t="str">
        <x:f>IF(COUNTIF($B$5:$B$29,B6)&gt;1,"DUPLICATE","OK")</x:f>
        <x:v>OK</x:v>
      </x:c>
      <x:c r="AH6" s="27" t="str">
        <x:f>IF(OR(B6="",C6="",D6="",N6=""),"MISSING REQUIRED FIELD","READY FOR REVIEW")</x:f>
        <x:v>READY FOR REVIEW</x:v>
      </x:c>
    </x:row>
    <x:row r="7" ht="64" customHeight="1">
      <x:c r="A7" s="24" t="n">
        <x:v>3</x:v>
      </x:c>
      <x:c r="B7" s="19" t="str">
        <x:v>MOM-PROJ-001-2569</x:v>
      </x:c>
      <x:c r="C7" s="24" t="str">
        <x:v>MOM</x:v>
      </x:c>
      <x:c r="D7" s="20" t="str">
        <x:v>รายงานการประชุม Kick-off โครงการศึกษา วิเคราะห์ และพัฒนาองค์ความรู้ด้านกฎหมาย ระเบียบ และแนวปฏิบัติที่เกี่ยวข้องกับการดำเนินงานของ สกสว. ครั้งที่ 1/2569</x:v>
      </x:c>
      <x:c r="E7" s="20" t="str">
        <x:v>รายงานประชุม Kick-off ครั้งที่ 1/2569</x:v>
      </x:c>
      <x:c r="F7" s="20" t="str">
        <x:v>คณะทำงานโครงการ</x:v>
      </x:c>
      <x:c r="G7" s="19" t="str">
        <x:v>1/2569</x:v>
      </x:c>
      <x:c r="H7" s="21" t="n">
        <x:v>46283</x:v>
      </x:c>
      <x:c r="I7" s="25" t="n">
        <x:v>2569</x:v>
      </x:c>
      <x:c r="J7" s="21"/>
      <x:c r="K7" s="21"/>
      <x:c r="L7" s="24" t="str">
        <x:v>1.0</x:v>
      </x:c>
      <x:c r="M7" s="24" t="str">
        <x:v>0.1</x:v>
      </x:c>
      <x:c r="N7" s="24" t="str">
        <x:v>INDEXED</x:v>
      </x:c>
      <x:c r="O7" s="24" t="str">
        <x:v>SOURCE NOT VERIFIED</x:v>
      </x:c>
      <x:c r="P7" s="24" t="str">
        <x:v>SOURCE NOT VERIFIED</x:v>
      </x:c>
      <x:c r="Q7" s="20" t="str">
        <x:v>WS01</x:v>
      </x:c>
      <x:c r="R7" s="20" t="str"/>
      <x:c r="S7" s="20" t="str"/>
      <x:c r="T7" s="20" t="str"/>
      <x:c r="U7" s="20" t="str">
        <x:v>ประชุมออนไลน์ผ่าน Zoom วันที่ 18 กันยายน 2569</x:v>
      </x:c>
      <x:c r="V7" s="20" t="str">
        <x:v>MOM-PROJ-001-2569_รายงานการประชุม-Kickoff-ครั้งที่-1-2569_18-09-2569_v1.0.pdf</x:v>
      </x:c>
      <x:c r="W7" s="24" t="str">
        <x:v>03-MOM-PROJ-001-2569_-Kickoff-1-2569_18-09-2569_v1.0.pdf</x:v>
      </x:c>
      <x:c r="X7" s="24" t="str">
        <x:v>PDF</x:v>
      </x:c>
      <x:c r="Y7" s="26" t="n">
        <x:v>17</x:v>
      </x:c>
      <x:c r="Z7" s="23" t="n">
        <x:v>288541</x:v>
      </x:c>
      <x:c r="AA7" s="19" t="str">
        <x:v>ac0fd9a23a10d86e7b22cd972a986cdc5baf1b7403a5e97c368bfeb18db9ba88</x:v>
      </x:c>
      <x:c r="AB7" s="19" t="str">
        <x:v>project_sources/03-MOM-PROJ-001-2569_-Kickoff-1-2569_18-09-2569_v1.0.pdf</x:v>
      </x:c>
      <x:c r="AC7" s="19" t="str">
        <x:v>INTERNAL</x:v>
      </x:c>
      <x:c r="AD7" s="19" t="str">
        <x:v>TO BE ASSIGNED</x:v>
      </x:c>
      <x:c r="AE7" s="24" t="n">
        <x:v>46287</x:v>
      </x:c>
      <x:c r="AF7" s="27" t="str">
        <x:v>ต้องยืนยันว่ารายงานได้รับการรับรองแล้วหรือไม่ก่อนเปลี่ยนเป็น VALIDATED</x:v>
      </x:c>
      <x:c r="AG7" s="27" t="str">
        <x:f>IF(COUNTIF($B$5:$B$29,B7)&gt;1,"DUPLICATE","OK")</x:f>
        <x:v>OK</x:v>
      </x:c>
      <x:c r="AH7" s="27" t="str">
        <x:f>IF(OR(B7="",C7="",D7="",N7=""),"MISSING REQUIRED FIELD","READY FOR REVIEW")</x:f>
        <x:v>READY FOR REVIEW</x:v>
      </x:c>
    </x:row>
    <x:row r="8" ht="64" customHeight="1">
      <x:c r="A8" s="24" t="n">
        <x:v>4</x:v>
      </x:c>
      <x:c r="B8" s="19" t="str">
        <x:v>LAW-NSC-001-2562</x:v>
      </x:c>
      <x:c r="C8" s="24" t="str">
        <x:v>LAW</x:v>
      </x:c>
      <x:c r="D8" s="20" t="str">
        <x:v>พระราชบัญญัติสภานโยบายการอุดมศึกษา วิทยาศาสตร์ วิจัยและนวัตกรรมแห่งชาติ พ.ศ. 2562</x:v>
      </x:c>
      <x:c r="E8" s="20" t="str">
        <x:v>พ.ร.บ. สภานโยบายฯ พ.ศ. 2562</x:v>
      </x:c>
      <x:c r="F8" s="20" t="str">
        <x:v>พระมหากษัตริย์โดยคำแนะนำและยินยอมของฝ่ายนิติบัญญัติ</x:v>
      </x:c>
      <x:c r="G8" s="19" t="str"/>
      <x:c r="H8" s="21" t="n">
        <x:v>43581</x:v>
      </x:c>
      <x:c r="I8" s="25" t="n">
        <x:v>2562</x:v>
      </x:c>
      <x:c r="J8" s="21" t="n">
        <x:v>43586</x:v>
      </x:c>
      <x:c r="K8" s="21" t="n">
        <x:v>43587</x:v>
      </x:c>
      <x:c r="L8" s="24" t="str"/>
      <x:c r="M8" s="24" t="str">
        <x:v>0.1</x:v>
      </x:c>
      <x:c r="N8" s="24" t="str">
        <x:v>INDEXED</x:v>
      </x:c>
      <x:c r="O8" s="24" t="str">
        <x:v>SOURCE NOT VERIFIED</x:v>
      </x:c>
      <x:c r="P8" s="24" t="str">
        <x:v>SOURCE NOT VERIFIED</x:v>
      </x:c>
      <x:c r="Q8" s="20" t="str">
        <x:v>WS02</x:v>
      </x:c>
      <x:c r="R8" s="20" t="str"/>
      <x:c r="S8" s="20" t="str"/>
      <x:c r="T8" s="20" t="str"/>
      <x:c r="U8" s="20" t="str">
        <x:v>ราชกิจจานุเบกษา เล่ม 136 ตอนที่ 57 ก หน้า 8 วันที่ 1 พฤษภาคม 2562</x:v>
      </x:c>
      <x:c r="V8" s="20" t="str">
        <x:v>LAW-NSC-001-2562_พ.ร.บ. สภานโยบายการอุดมศึกษาวิทยาศาสตร์วิจัยและนวัตกรรมแห่งชาติ-พ.ศ.-2562.pdf</x:v>
      </x:c>
      <x:c r="W8" s="24" t="str">
        <x:v>04-LAW-NSC-001-2562_-.-.-.-.-.-2562.pdf</x:v>
      </x:c>
      <x:c r="X8" s="24" t="str">
        <x:v>PDF</x:v>
      </x:c>
      <x:c r="Y8" s="26" t="n">
        <x:v>34</x:v>
      </x:c>
      <x:c r="Z8" s="23" t="n">
        <x:v>344043</x:v>
      </x:c>
      <x:c r="AA8" s="19" t="str">
        <x:v>7b6557e0f472f0ed1e6918c059170633b9c490eb4833adbf1e4645585b039f6a</x:v>
      </x:c>
      <x:c r="AB8" s="19" t="str">
        <x:v>project_sources/04-LAW-NSC-001-2562_-.-.-.-.-.-2562.pdf</x:v>
      </x:c>
      <x:c r="AC8" s="19" t="str">
        <x:v>PUBLIC</x:v>
      </x:c>
      <x:c r="AD8" s="19" t="str">
        <x:v>TO BE ASSIGNED</x:v>
      </x:c>
      <x:c r="AE8" s="24" t="n">
        <x:v>46287</x:v>
      </x:c>
      <x:c r="AF8" s="27" t="str">
        <x:v>มาตรา 2 ให้ใช้บังคับตั้งแต่วันถัดจากวันประกาศในราชกิจจานุเบกษา</x:v>
      </x:c>
      <x:c r="AG8" s="27" t="str">
        <x:f>IF(COUNTIF($B$5:$B$29,B8)&gt;1,"DUPLICATE","OK")</x:f>
        <x:v>OK</x:v>
      </x:c>
      <x:c r="AH8" s="27" t="str">
        <x:f>IF(OR(B8="",C8="",D8="",N8=""),"MISSING REQUIRED FIELD","READY FOR REVIEW")</x:f>
        <x:v>READY FOR REVIEW</x:v>
      </x:c>
    </x:row>
    <x:row r="9" ht="64" customHeight="1">
      <x:c r="A9" s="24" t="n">
        <x:v>5</x:v>
      </x:c>
      <x:c r="B9" s="19" t="str">
        <x:v>LAW-NSC-002-2568</x:v>
      </x:c>
      <x:c r="C9" s="24" t="str">
        <x:v>LAW</x:v>
      </x:c>
      <x:c r="D9" s="20" t="str">
        <x:v>พระราชบัญญัติสภานโยบายการอุดมศึกษา วิทยาศาสตร์ วิจัยและนวัตกรรมแห่งชาติ (ฉบับที่ 2) พ.ศ. 2568</x:v>
      </x:c>
      <x:c r="E9" s="20" t="str">
        <x:v>พ.ร.บ. สภานโยบายฯ (ฉบับที่ 2) พ.ศ. 2568</x:v>
      </x:c>
      <x:c r="F9" s="20" t="str">
        <x:v>พระมหากษัตริย์โดยคำแนะนำและยินยอมของรัฐสภา</x:v>
      </x:c>
      <x:c r="G9" s="19" t="str">
        <x:v>ฉบับที่ 2</x:v>
      </x:c>
      <x:c r="H9" s="21" t="n">
        <x:v>45736</x:v>
      </x:c>
      <x:c r="I9" s="25" t="n">
        <x:v>2568</x:v>
      </x:c>
      <x:c r="J9" s="21" t="n">
        <x:v>45740</x:v>
      </x:c>
      <x:c r="K9" s="21" t="n">
        <x:v>45741</x:v>
      </x:c>
      <x:c r="L9" s="24" t="str"/>
      <x:c r="M9" s="24" t="str">
        <x:v>0.1</x:v>
      </x:c>
      <x:c r="N9" s="24" t="str">
        <x:v>INDEXED</x:v>
      </x:c>
      <x:c r="O9" s="24" t="str">
        <x:v>SOURCE NOT VERIFIED</x:v>
      </x:c>
      <x:c r="P9" s="24" t="str">
        <x:v>SOURCE NOT VERIFIED</x:v>
      </x:c>
      <x:c r="Q9" s="20" t="str">
        <x:v>WS02</x:v>
      </x:c>
      <x:c r="R9" s="20" t="str">
        <x:v>LAW-NSC-001-2562</x:v>
      </x:c>
      <x:c r="S9" s="20" t="str">
        <x:v>LAW-NSC-001-2562</x:v>
      </x:c>
      <x:c r="T9" s="20" t="str"/>
      <x:c r="U9" s="20" t="str">
        <x:v>ราชกิจจานุเบกษา เล่ม 142 ตอนที่ 14 ก หน้า 4 วันที่ 24 มีนาคม 2568</x:v>
      </x:c>
      <x:c r="V9" s="20" t="str">
        <x:v>LAW-NSC-002-2568_พ.ร.บ. สภานโยบายการอุดมศึกษาวิทยาศาสตร์วิจัยและนวัตกรรมแห่งชาติ-ฉบับที่-2-พ.ศ.-2568.pdf</x:v>
      </x:c>
      <x:c r="W9" s="24" t="str">
        <x:v>05-LAW-NSC-002-2568_-.-.-.-2-.-.-2568.pdf</x:v>
      </x:c>
      <x:c r="X9" s="24" t="str">
        <x:v>PDF</x:v>
      </x:c>
      <x:c r="Y9" s="26" t="n">
        <x:v>3</x:v>
      </x:c>
      <x:c r="Z9" s="23" t="n">
        <x:v>78049</x:v>
      </x:c>
      <x:c r="AA9" s="19" t="str">
        <x:v>640c286a46ced71a6a596301fc1e90a79fc553789bf03970ddac686fa5257db9</x:v>
      </x:c>
      <x:c r="AB9" s="19" t="str">
        <x:v>project_sources/05-LAW-NSC-002-2568_-.-.-.-2-.-.-2568.pdf</x:v>
      </x:c>
      <x:c r="AC9" s="19" t="str">
        <x:v>PUBLIC</x:v>
      </x:c>
      <x:c r="AD9" s="19" t="str">
        <x:v>TO BE ASSIGNED</x:v>
      </x:c>
      <x:c r="AE9" s="24" t="n">
        <x:v>46287</x:v>
      </x:c>
      <x:c r="AF9" s="27" t="str">
        <x:v>ความสัมพันธ์เป็นฉบับแก้ไขเพิ่มเติม; สถานะการใช้บังคับรวมต้องตรวจจากฉบับปัจจุบัน</x:v>
      </x:c>
      <x:c r="AG9" s="27" t="str">
        <x:f>IF(COUNTIF($B$5:$B$29,B9)&gt;1,"DUPLICATE","OK")</x:f>
        <x:v>OK</x:v>
      </x:c>
      <x:c r="AH9" s="27" t="str">
        <x:f>IF(OR(B9="",C9="",D9="",N9=""),"MISSING REQUIRED FIELD","READY FOR REVIEW")</x:f>
        <x:v>READY FOR REVIEW</x:v>
      </x:c>
    </x:row>
    <x:row r="10" ht="64" customHeight="1">
      <x:c r="A10" s="24" t="n">
        <x:v>6</x:v>
      </x:c>
      <x:c r="B10" s="19" t="str">
        <x:v>LAW-SRI-001-2562</x:v>
      </x:c>
      <x:c r="C10" s="24" t="str">
        <x:v>LAW</x:v>
      </x:c>
      <x:c r="D10" s="20" t="str">
        <x:v>พระราชบัญญัติการส่งเสริมวิทยาศาสตร์ การวิจัยและนวัตกรรม พ.ศ. 2562</x:v>
      </x:c>
      <x:c r="E10" s="20" t="str">
        <x:v>พ.ร.บ. การส่งเสริม ววน. พ.ศ. 2562</x:v>
      </x:c>
      <x:c r="F10" s="20" t="str">
        <x:v>พระมหากษัตริย์โดยคำแนะนำและยินยอมของฝ่ายนิติบัญญัติ</x:v>
      </x:c>
      <x:c r="G10" s="19" t="str"/>
      <x:c r="H10" s="21" t="n">
        <x:v>43609</x:v>
      </x:c>
      <x:c r="I10" s="25" t="n">
        <x:v>2562</x:v>
      </x:c>
      <x:c r="J10" s="21" t="n">
        <x:v>43610</x:v>
      </x:c>
      <x:c r="K10" s="21" t="n">
        <x:v>43611</x:v>
      </x:c>
      <x:c r="L10" s="24" t="str">
        <x:v>0.1</x:v>
      </x:c>
      <x:c r="M10" s="24" t="str">
        <x:v>0.1</x:v>
      </x:c>
      <x:c r="N10" s="24" t="str">
        <x:v>INDEXED</x:v>
      </x:c>
      <x:c r="O10" s="24" t="str">
        <x:v>SOURCE NOT VERIFIED</x:v>
      </x:c>
      <x:c r="P10" s="24" t="str">
        <x:v>SOURCE NOT VERIFIED</x:v>
      </x:c>
      <x:c r="Q10" s="20" t="str">
        <x:v>WS02</x:v>
      </x:c>
      <x:c r="R10" s="20" t="str"/>
      <x:c r="S10" s="20" t="str"/>
      <x:c r="T10" s="20" t="str"/>
      <x:c r="U10" s="20" t="str">
        <x:v>ราชกิจจานุเบกษา เล่ม 136 ตอนที่ 68 ก หน้า 1 วันที่ 25 พฤษภาคม 2562</x:v>
      </x:c>
      <x:c r="V10" s="20" t="str">
        <x:v>LAW-SRI-001-2562_พระราชบัญญัติการส่งเสริมวิทยาศาสตร์การวิจัยและนวัตกรรม-พ.ศ.-2562_v0.1.pdf</x:v>
      </x:c>
      <x:c r="W10" s="24" t="str">
        <x:v>06-LAW-SRI-001-2562_-.-.-2562_v0.1.pdf</x:v>
      </x:c>
      <x:c r="X10" s="24" t="str">
        <x:v>PDF</x:v>
      </x:c>
      <x:c r="Y10" s="26" t="n">
        <x:v>18</x:v>
      </x:c>
      <x:c r="Z10" s="23" t="n">
        <x:v>219248</x:v>
      </x:c>
      <x:c r="AA10" s="19" t="str">
        <x:v>47afdb9e9c139d00cc0616ea266136f7226ee1a0fa5243356ddbaadcc923fcdc</x:v>
      </x:c>
      <x:c r="AB10" s="19" t="str">
        <x:v>project_sources/06-LAW-SRI-001-2562_-.-.-2562_v0.1.pdf</x:v>
      </x:c>
      <x:c r="AC10" s="19" t="str">
        <x:v>PUBLIC</x:v>
      </x:c>
      <x:c r="AD10" s="19" t="str">
        <x:v>TO BE ASSIGNED</x:v>
      </x:c>
      <x:c r="AE10" s="24" t="n">
        <x:v>46287</x:v>
      </x:c>
      <x:c r="AF10" s="27" t="str">
        <x:v>ชื่อไฟล์ระบุ v0.1 แต่เนื้อหาเป็นสำเนาราชกิจจานุเบกษา; ต้องแยก Source File Version ออกจากสถานะกฎหมาย</x:v>
      </x:c>
      <x:c r="AG10" s="27" t="str">
        <x:f>IF(COUNTIF($B$5:$B$29,B10)&gt;1,"DUPLICATE","OK")</x:f>
        <x:v>OK</x:v>
      </x:c>
      <x:c r="AH10" s="27" t="str">
        <x:f>IF(OR(B10="",C10="",D10="",N10=""),"MISSING REQUIRED FIELD","READY FOR REVIEW")</x:f>
        <x:v>READY FOR REVIEW</x:v>
      </x:c>
    </x:row>
    <x:row r="11" ht="64" customHeight="1">
      <x:c r="A11" s="24" t="n">
        <x:v>7</x:v>
      </x:c>
      <x:c r="B11" s="19" t="str">
        <x:v>LAW-SRI-002-2568</x:v>
      </x:c>
      <x:c r="C11" s="24" t="str">
        <x:v>LAW</x:v>
      </x:c>
      <x:c r="D11" s="20" t="str">
        <x:v>พระราชบัญญัติการส่งเสริมวิทยาศาสตร์ การวิจัยและนวัตกรรม (ฉบับที่ 2) พ.ศ. 2568</x:v>
      </x:c>
      <x:c r="E11" s="20" t="str">
        <x:v>พ.ร.บ. การส่งเสริม ววน. (ฉบับที่ 2) พ.ศ. 2568</x:v>
      </x:c>
      <x:c r="F11" s="20" t="str">
        <x:v>พระมหากษัตริย์โดยคำแนะนำและยินยอมของรัฐสภา</x:v>
      </x:c>
      <x:c r="G11" s="19" t="str">
        <x:v>ฉบับที่ 2</x:v>
      </x:c>
      <x:c r="H11" s="21" t="n">
        <x:v>45736</x:v>
      </x:c>
      <x:c r="I11" s="25" t="n">
        <x:v>2568</x:v>
      </x:c>
      <x:c r="J11" s="21" t="n">
        <x:v>45740</x:v>
      </x:c>
      <x:c r="K11" s="21" t="n">
        <x:v>45741</x:v>
      </x:c>
      <x:c r="L11" s="24" t="str">
        <x:v>0.1</x:v>
      </x:c>
      <x:c r="M11" s="24" t="str">
        <x:v>0.1</x:v>
      </x:c>
      <x:c r="N11" s="24" t="str">
        <x:v>INDEXED</x:v>
      </x:c>
      <x:c r="O11" s="24" t="str">
        <x:v>SOURCE NOT VERIFIED</x:v>
      </x:c>
      <x:c r="P11" s="24" t="str">
        <x:v>SOURCE NOT VERIFIED</x:v>
      </x:c>
      <x:c r="Q11" s="20" t="str">
        <x:v>WS02</x:v>
      </x:c>
      <x:c r="R11" s="20" t="str">
        <x:v>LAW-SRI-001-2562</x:v>
      </x:c>
      <x:c r="S11" s="20" t="str">
        <x:v>LAW-SRI-001-2562</x:v>
      </x:c>
      <x:c r="T11" s="20" t="str"/>
      <x:c r="U11" s="20" t="str">
        <x:v>ราชกิจจานุเบกษา เล่ม 142 ตอนที่ 14 ก หน้า 24 วันที่ 24 มีนาคม 2568</x:v>
      </x:c>
      <x:c r="V11" s="20" t="str">
        <x:v>LAW-SRI-002-2568_พระราชบัญญัติการส่งเสริมวิทยาศาสตร์การวิจัยและนวัตกรรม-ฉบับที่-2-พ.ศ.-2568_v0.1.pdf</x:v>
      </x:c>
      <x:c r="W11" s="24" t="str">
        <x:v>07-LAW-SRI-002-2568_-2-.-.-2568_v0.1.pdf</x:v>
      </x:c>
      <x:c r="X11" s="24" t="str">
        <x:v>PDF</x:v>
      </x:c>
      <x:c r="Y11" s="26" t="n">
        <x:v>3</x:v>
      </x:c>
      <x:c r="Z11" s="23" t="n">
        <x:v>76890</x:v>
      </x:c>
      <x:c r="AA11" s="19" t="str">
        <x:v>cc64246fb52cf6105b540e55d97f1c659212c1a745d96bb63409d68a9b010479</x:v>
      </x:c>
      <x:c r="AB11" s="19" t="str">
        <x:v>project_sources/07-LAW-SRI-002-2568_-2-.-.-2568_v0.1.pdf</x:v>
      </x:c>
      <x:c r="AC11" s="19" t="str">
        <x:v>PUBLIC</x:v>
      </x:c>
      <x:c r="AD11" s="19" t="str">
        <x:v>TO BE ASSIGNED</x:v>
      </x:c>
      <x:c r="AE11" s="24" t="n">
        <x:v>46287</x:v>
      </x:c>
      <x:c r="AF11" s="27" t="str">
        <x:v>ชื่อไฟล์ระบุ v0.1; ความสัมพันธ์เป็นฉบับแก้ไขเพิ่มเติม</x:v>
      </x:c>
      <x:c r="AG11" s="27" t="str">
        <x:f>IF(COUNTIF($B$5:$B$29,B11)&gt;1,"DUPLICATE","OK")</x:f>
        <x:v>OK</x:v>
      </x:c>
      <x:c r="AH11" s="27" t="str">
        <x:f>IF(OR(B11="",C11="",D11="",N11=""),"MISSING REQUIRED FIELD","READY FOR REVIEW")</x:f>
        <x:v>READY FOR REVIEW</x:v>
      </x:c>
    </x:row>
    <x:row r="12" ht="64" customHeight="1">
      <x:c r="A12" s="24" t="n">
        <x:v>8</x:v>
      </x:c>
      <x:c r="B12" s="19" t="str">
        <x:v>REG-NSC-001-2562</x:v>
      </x:c>
      <x:c r="C12" s="24" t="str">
        <x:v>REG</x:v>
      </x:c>
      <x:c r="D12" s="20" t="str">
        <x:v>ระเบียบสภานโยบายการอุดมศึกษา วิทยาศาสตร์ วิจัยและนวัตกรรมแห่งชาติ ว่าด้วยการบริหารกองทุนส่งเสริมวิทยาศาสตร์ การวิจัยและนวัตกรรม พ.ศ. 2562</x:v>
      </x:c>
      <x:c r="E12" s="20" t="str">
        <x:v>ระเบียบสภานโยบายฯ ว่าด้วยการบริหารกองทุน พ.ศ. 2562</x:v>
      </x:c>
      <x:c r="F12" s="20" t="str">
        <x:v>สภานโยบายการอุดมศึกษา วิทยาศาสตร์ วิจัยและนวัตกรรมแห่งชาติ</x:v>
      </x:c>
      <x:c r="G12" s="19" t="str"/>
      <x:c r="H12" s="21"/>
      <x:c r="I12" s="25" t="n">
        <x:v>2562</x:v>
      </x:c>
      <x:c r="J12" s="21"/>
      <x:c r="K12" s="21"/>
      <x:c r="L12" s="24" t="str">
        <x:v>0.1</x:v>
      </x:c>
      <x:c r="M12" s="24" t="str">
        <x:v>0.1</x:v>
      </x:c>
      <x:c r="N12" s="24" t="str">
        <x:v>INDEXED</x:v>
      </x:c>
      <x:c r="O12" s="24" t="str">
        <x:v>SOURCE NOT VERIFIED</x:v>
      </x:c>
      <x:c r="P12" s="24" t="str">
        <x:v>SOURCE NOT VERIFIED</x:v>
      </x:c>
      <x:c r="Q12" s="20" t="str">
        <x:v>WS02</x:v>
      </x:c>
      <x:c r="R12" s="20" t="str"/>
      <x:c r="S12" s="20" t="str"/>
      <x:c r="T12" s="20" t="str"/>
      <x:c r="U12" s="20" t="str">
        <x:v>SOURCE NOT VERIFIED</x:v>
      </x:c>
      <x:c r="V12" s="20" t="str">
        <x:v>REG-NSC-001-2562_ระเบียบสภานโยบายฯ-ว่าด้วยการบริหารกองทุนส่งเสริมวิทยาศาสตร์การวิจัยและนวัตกรรม_พ.ศ.-2562_v0.1.pdf.pdf</x:v>
      </x:c>
      <x:c r="W12" s="24" t="str">
        <x:v>08-REG-NSC-001-2562_-_-.-.-2562_v0.1.pdf.pdf</x:v>
      </x:c>
      <x:c r="X12" s="24" t="str">
        <x:v>PDF</x:v>
      </x:c>
      <x:c r="Y12" s="26" t="n">
        <x:v>6</x:v>
      </x:c>
      <x:c r="Z12" s="23" t="n">
        <x:v>2221023</x:v>
      </x:c>
      <x:c r="AA12" s="19" t="str">
        <x:v>1b33a304b8dc82a33427c88c591d988cfd993b4e915b33343d0d9f1695cad1ab</x:v>
      </x:c>
      <x:c r="AB12" s="19" t="str">
        <x:v>project_sources/08-REG-NSC-001-2562_-_-.-.-2562_v0.1.pdf.pdf</x:v>
      </x:c>
      <x:c r="AC12" s="19" t="str">
        <x:v>PUBLIC</x:v>
      </x:c>
      <x:c r="AD12" s="19" t="str">
        <x:v>TO BE ASSIGNED</x:v>
      </x:c>
      <x:c r="AE12" s="24" t="n">
        <x:v>46287</x:v>
      </x:c>
      <x:c r="AF12" s="27" t="str">
        <x:v>ชื่อไฟล์มีนามสกุลซ้ำ .pdf.pdf และระบุ v0.1; ต้องตรวจราชกิจจานุเบกษาและวันใช้บังคับ</x:v>
      </x:c>
      <x:c r="AG12" s="27" t="str">
        <x:f>IF(COUNTIF($B$5:$B$29,B12)&gt;1,"DUPLICATE","OK")</x:f>
        <x:v>OK</x:v>
      </x:c>
      <x:c r="AH12" s="27" t="str">
        <x:f>IF(OR(B12="",C12="",D12="",N12=""),"MISSING REQUIRED FIELD","READY FOR REVIEW")</x:f>
        <x:v>READY FOR REVIEW</x:v>
      </x:c>
    </x:row>
    <x:row r="13" ht="64" customHeight="1">
      <x:c r="A13" s="24" t="n">
        <x:v>9</x:v>
      </x:c>
      <x:c r="B13" s="19" t="str">
        <x:v>REG-PMH-001-2564</x:v>
      </x:c>
      <x:c r="C13" s="24" t="str">
        <x:v>REG</x:v>
      </x:c>
      <x:c r="D13" s="20" t="str">
        <x:v>ระเบียบคณะกรรมการส่งเสริมวิทยาศาสตร์ วิจัยและนวัตกรรม ว่าด้วยการเร่งรัดและติดตามให้มีการชดใช้ทุนคืนตามสัญญาสำหรับโครงการวิจัยและกิจกรรมที่เกี่ยวเนื่องซึ่งได้รับโอนมาจากกองทุนสนับสนุนการวิจัย พ.ศ. 2564</x:v>
      </x:c>
      <x:c r="E13" s="20" t="str">
        <x:v>ระเบียบ กสว. ว่าด้วยการเร่งรัดและติดตามการชดใช้ทุนคืน พ.ศ. 2564</x:v>
      </x:c>
      <x:c r="F13" s="20" t="str">
        <x:v>คณะกรรมการส่งเสริมวิทยาศาสตร์ วิจัยและนวัตกรรม</x:v>
      </x:c>
      <x:c r="G13" s="19" t="str"/>
      <x:c r="H13" s="21"/>
      <x:c r="I13" s="25" t="n">
        <x:v>2564</x:v>
      </x:c>
      <x:c r="J13" s="21" t="n">
        <x:v>44515</x:v>
      </x:c>
      <x:c r="K13" s="21" t="n">
        <x:v>44516</x:v>
      </x:c>
      <x:c r="L13" s="24" t="str">
        <x:v>0.1</x:v>
      </x:c>
      <x:c r="M13" s="24" t="str">
        <x:v>0.1</x:v>
      </x:c>
      <x:c r="N13" s="24" t="str">
        <x:v>INDEXED</x:v>
      </x:c>
      <x:c r="O13" s="24" t="str">
        <x:v>SOURCE NOT VERIFIED</x:v>
      </x:c>
      <x:c r="P13" s="24" t="str">
        <x:v>SOURCE NOT VERIFIED</x:v>
      </x:c>
      <x:c r="Q13" s="20" t="str">
        <x:v>WS02</x:v>
      </x:c>
      <x:c r="R13" s="20" t="str"/>
      <x:c r="S13" s="20" t="str"/>
      <x:c r="T13" s="20" t="str"/>
      <x:c r="U13" s="20" t="str">
        <x:v>ราชกิจจานุเบกษา เล่ม 138 ตอนพิเศษ 280 ง หน้า 1 วันที่ 15 พฤศจิกายน 2564</x:v>
      </x:c>
      <x:c r="V13" s="20" t="str">
        <x:v>REG-PMH-001-2564_ระเบียบ-กสว-ว่าด้วยการเร่งรัดและติดตามให้มีการชดใช้เงินคืน_พ.ศ.-2564v0.1.pdf</x:v>
      </x:c>
      <x:c r="W13" s="24" t="str">
        <x:v>09-REG-PMH-001-2564_-_-.-.-2564v0.1.pdf</x:v>
      </x:c>
      <x:c r="X13" s="24" t="str">
        <x:v>PDF</x:v>
      </x:c>
      <x:c r="Y13" s="26" t="n">
        <x:v>5</x:v>
      </x:c>
      <x:c r="Z13" s="23" t="n">
        <x:v>116492</x:v>
      </x:c>
      <x:c r="AA13" s="19" t="str">
        <x:v>2c86c60ab3e0a15125eafae9ddb94e6ac745d577ca2d3f5f6fc85ab67a75e76c</x:v>
      </x:c>
      <x:c r="AB13" s="19" t="str">
        <x:v>project_sources/09-REG-PMH-001-2564_-_-.-.-2564v0.1.pdf</x:v>
      </x:c>
      <x:c r="AC13" s="19" t="str">
        <x:v>PUBLIC</x:v>
      </x:c>
      <x:c r="AD13" s="19" t="str">
        <x:v>TO BE ASSIGNED</x:v>
      </x:c>
      <x:c r="AE13" s="24" t="n">
        <x:v>46287</x:v>
      </x:c>
      <x:c r="AF13" s="27" t="str">
        <x:v>ชื่อไฟล์ย่อกว่าชื่อทางการในเอกสาร; ใช้ชื่อทางการจากหน้าแรกของ PDF</x:v>
      </x:c>
      <x:c r="AG13" s="27" t="str">
        <x:f>IF(COUNTIF($B$5:$B$29,B13)&gt;1,"DUPLICATE","OK")</x:f>
        <x:v>OK</x:v>
      </x:c>
      <x:c r="AH13" s="27" t="str">
        <x:f>IF(OR(B13="",C13="",D13="",N13=""),"MISSING REQUIRED FIELD","READY FOR REVIEW")</x:f>
        <x:v>READY FOR REVIEW</x:v>
      </x:c>
    </x:row>
    <x:row r="14" ht="64" customHeight="1">
      <x:c r="A14" s="24" t="n">
        <x:v>10</x:v>
      </x:c>
      <x:c r="B14" s="19" t="str">
        <x:v>REG-PMH-002-2562</x:v>
      </x:c>
      <x:c r="C14" s="24" t="str">
        <x:v>REG</x:v>
      </x:c>
      <x:c r="D14" s="20" t="str">
        <x:v>ระเบียบคณะกรรมการส่งเสริมวิทยาศาสตร์ วิจัยและนวัตกรรม ว่าด้วยการรับเงิน การจ่ายเงิน และการเก็บรักษาเงิน พ.ศ. 2562</x:v>
      </x:c>
      <x:c r="E14" s="20" t="str">
        <x:v>ระเบียบ กสว. ว่าด้วยการรับ จ่าย และเก็บรักษาเงิน พ.ศ. 2562</x:v>
      </x:c>
      <x:c r="F14" s="20" t="str">
        <x:v>คณะกรรมการส่งเสริมวิทยาศาสตร์ วิจัยและนวัตกรรม</x:v>
      </x:c>
      <x:c r="G14" s="19" t="str"/>
      <x:c r="H14" s="21"/>
      <x:c r="I14" s="25" t="n">
        <x:v>2562</x:v>
      </x:c>
      <x:c r="J14" s="21"/>
      <x:c r="K14" s="21"/>
      <x:c r="L14" s="24" t="str">
        <x:v>0.1</x:v>
      </x:c>
      <x:c r="M14" s="24" t="str">
        <x:v>0.1</x:v>
      </x:c>
      <x:c r="N14" s="24" t="str">
        <x:v>INDEXED</x:v>
      </x:c>
      <x:c r="O14" s="24" t="str">
        <x:v>SOURCE NOT VERIFIED</x:v>
      </x:c>
      <x:c r="P14" s="24" t="str">
        <x:v>SOURCE NOT VERIFIED</x:v>
      </x:c>
      <x:c r="Q14" s="20" t="str">
        <x:v>WS02</x:v>
      </x:c>
      <x:c r="R14" s="20" t="str"/>
      <x:c r="S14" s="20" t="str"/>
      <x:c r="T14" s="20" t="str"/>
      <x:c r="U14" s="20" t="str">
        <x:v>SOURCE NOT VERIFIED</x:v>
      </x:c>
      <x:c r="V14" s="20" t="str">
        <x:v>REG-PMH-002-2562_ระเบียบ-กสว-ว่าด้วยการรับเงินจ่ายเงินและเก็บรักษาเงิน_พ.ศ.-2562_v0.1.pdf</x:v>
      </x:c>
      <x:c r="W14" s="24" t="str">
        <x:v>10-REG-PMH-002-2562_-_-.-.-2562_v0.1.pdf</x:v>
      </x:c>
      <x:c r="X14" s="24" t="str">
        <x:v>PDF</x:v>
      </x:c>
      <x:c r="Y14" s="26" t="n">
        <x:v>7</x:v>
      </x:c>
      <x:c r="Z14" s="23" t="n">
        <x:v>401681</x:v>
      </x:c>
      <x:c r="AA14" s="19" t="str">
        <x:v>3b0dea17b35f6608f60b13584316fc5e32fa033aea662f9428064a051d0cbaf2</x:v>
      </x:c>
      <x:c r="AB14" s="19" t="str">
        <x:v>project_sources/10-REG-PMH-002-2562_-_-.-.-2562_v0.1.pdf</x:v>
      </x:c>
      <x:c r="AC14" s="19" t="str">
        <x:v>PUBLIC</x:v>
      </x:c>
      <x:c r="AD14" s="19" t="str">
        <x:v>TO BE ASSIGNED</x:v>
      </x:c>
      <x:c r="AE14" s="24" t="n">
        <x:v>46287</x:v>
      </x:c>
      <x:c r="AF14" s="27" t="str">
        <x:v>ชื่อเรื่องลงทะเบียนจากชื่อไฟล์; PDF เป็นภาพสแกน ต้องตรวจชื่อทางการและวันใช้บังคับ</x:v>
      </x:c>
      <x:c r="AG14" s="27" t="str">
        <x:f>IF(COUNTIF($B$5:$B$29,B14)&gt;1,"DUPLICATE","OK")</x:f>
        <x:v>OK</x:v>
      </x:c>
      <x:c r="AH14" s="27" t="str">
        <x:f>IF(OR(B14="",C14="",D14="",N14=""),"MISSING REQUIRED FIELD","READY FOR REVIEW")</x:f>
        <x:v>READY FOR REVIEW</x:v>
      </x:c>
    </x:row>
    <x:row r="15" ht="64" customHeight="1">
      <x:c r="A15" s="24" t="n">
        <x:v>11</x:v>
      </x:c>
      <x:c r="B15" s="19" t="str">
        <x:v>ANN-PMH-001-2566</x:v>
      </x:c>
      <x:c r="C15" s="24" t="str">
        <x:v>ANN</x:v>
      </x:c>
      <x:c r="D15" s="20" t="str">
        <x:v>ประกาศคณะกรรมการส่งเสริมวิทยาศาสตร์ วิจัยและนวัตกรรม เรื่อง รายชื่อหน่วยงานที่ยื่นคำของบประมาณจากกองทุนส่งเสริมวิทยาศาสตร์ วิจัยและนวัตกรรม พ.ศ. 2566</x:v>
      </x:c>
      <x:c r="E15" s="20" t="str">
        <x:v>ประกาศรายชื่อหน่วยงานที่ยื่นคำของบประมาณจากกองทุน ววน. พ.ศ. 2566</x:v>
      </x:c>
      <x:c r="F15" s="20" t="str">
        <x:v>คณะกรรมการส่งเสริมวิทยาศาสตร์ วิจัยและนวัตกรรม</x:v>
      </x:c>
      <x:c r="G15" s="19" t="str"/>
      <x:c r="H15" s="21"/>
      <x:c r="I15" s="25" t="n">
        <x:v>2566</x:v>
      </x:c>
      <x:c r="J15" s="21"/>
      <x:c r="K15" s="21"/>
      <x:c r="L15" s="24" t="str"/>
      <x:c r="M15" s="24" t="str">
        <x:v>0.1</x:v>
      </x:c>
      <x:c r="N15" s="24" t="str">
        <x:v>INDEXED</x:v>
      </x:c>
      <x:c r="O15" s="24" t="str">
        <x:v>SOURCE NOT VERIFIED</x:v>
      </x:c>
      <x:c r="P15" s="24" t="str">
        <x:v>SOURCE NOT VERIFIED</x:v>
      </x:c>
      <x:c r="Q15" s="20" t="str">
        <x:v>WS02</x:v>
      </x:c>
      <x:c r="R15" s="20" t="str"/>
      <x:c r="S15" s="20" t="str"/>
      <x:c r="T15" s="20" t="str"/>
      <x:c r="U15" s="20" t="str">
        <x:v>SOURCE NOT VERIFIED</x:v>
      </x:c>
      <x:c r="V15" s="20" t="str">
        <x:v>ANN-PMH-001-2566_ประกาศ-กสว-เรื่องรายชื่อหน่วยงานที่ยื่นคำของบประมาณจากกองทุน ววน._พ.ศ.-2566.pdf</x:v>
      </x:c>
      <x:c r="W15" s="24" t="str">
        <x:v>11-ANN-PMH-001-2566_-._-.-.-2566.pdf</x:v>
      </x:c>
      <x:c r="X15" s="24" t="str">
        <x:v>PDF</x:v>
      </x:c>
      <x:c r="Y15" s="26" t="n">
        <x:v>3</x:v>
      </x:c>
      <x:c r="Z15" s="23" t="n">
        <x:v>833954</x:v>
      </x:c>
      <x:c r="AA15" s="19" t="str">
        <x:v>72a68a11db35dae97839c81510349d433545eb27689618c3f1bdc7fd829feb3b</x:v>
      </x:c>
      <x:c r="AB15" s="19" t="str">
        <x:v>project_sources/11-ANN-PMH-001-2566_-._-.-.-2566.pdf</x:v>
      </x:c>
      <x:c r="AC15" s="19" t="str">
        <x:v>PUBLIC</x:v>
      </x:c>
      <x:c r="AD15" s="19" t="str">
        <x:v>TO BE ASSIGNED</x:v>
      </x:c>
      <x:c r="AE15" s="24" t="n">
        <x:v>46287</x:v>
      </x:c>
      <x:c r="AF15" s="27" t="str">
        <x:v>ชื่อเรื่องลงทะเบียนจากชื่อไฟล์; ต้องตรวจชื่อทางการ วันที่ประกาศ และสถานะปัจจุบัน</x:v>
      </x:c>
      <x:c r="AG15" s="27" t="str">
        <x:f>IF(COUNTIF($B$5:$B$29,B15)&gt;1,"DUPLICATE","OK")</x:f>
        <x:v>OK</x:v>
      </x:c>
      <x:c r="AH15" s="27" t="str">
        <x:f>IF(OR(B15="",C15="",D15="",N15=""),"MISSING REQUIRED FIELD","READY FOR REVIEW")</x:f>
        <x:v>READY FOR REVIEW</x:v>
      </x:c>
    </x:row>
    <x:row r="16" ht="64" customHeight="1">
      <x:c r="A16" s="24" t="n">
        <x:v>12</x:v>
      </x:c>
      <x:c r="B16" s="19" t="str">
        <x:v>ANN-PMH-002-2566</x:v>
      </x:c>
      <x:c r="C16" s="24" t="str">
        <x:v>ANN</x:v>
      </x:c>
      <x:c r="D16" s="20" t="str">
        <x:v>ประกาศคณะกรรมการส่งเสริมวิทยาศาสตร์ วิจัยและนวัตกรรม เรื่อง การจัดทำคำของบประมาณด้านการวิจัยและนวัตกรรม พ.ศ. 2566</x:v>
      </x:c>
      <x:c r="E16" s="20" t="str">
        <x:v>ประกาศการจัดทำคำของบประมาณด้านการวิจัยและนวัตกรรม พ.ศ. 2566</x:v>
      </x:c>
      <x:c r="F16" s="20" t="str">
        <x:v>คณะกรรมการส่งเสริมวิทยาศาสตร์ วิจัยและนวัตกรรม</x:v>
      </x:c>
      <x:c r="G16" s="19" t="str"/>
      <x:c r="H16" s="21"/>
      <x:c r="I16" s="25" t="n">
        <x:v>2566</x:v>
      </x:c>
      <x:c r="J16" s="21"/>
      <x:c r="K16" s="21"/>
      <x:c r="L16" s="24" t="str"/>
      <x:c r="M16" s="24" t="str">
        <x:v>0.1</x:v>
      </x:c>
      <x:c r="N16" s="24" t="str">
        <x:v>INDEXED</x:v>
      </x:c>
      <x:c r="O16" s="24" t="str">
        <x:v>SOURCE NOT VERIFIED</x:v>
      </x:c>
      <x:c r="P16" s="24" t="str">
        <x:v>SOURCE NOT VERIFIED</x:v>
      </x:c>
      <x:c r="Q16" s="20" t="str">
        <x:v>WS02</x:v>
      </x:c>
      <x:c r="R16" s="20" t="str"/>
      <x:c r="S16" s="20" t="str"/>
      <x:c r="T16" s="20" t="str"/>
      <x:c r="U16" s="20" t="str">
        <x:v>SOURCE NOT VERIFIED</x:v>
      </x:c>
      <x:c r="V16" s="20" t="str">
        <x:v>ANN-PMH-002-2566_ประกาศ-กสว-เรื่องการจัดทำคำของบประมาณด้านการวิจัยและนวัตกรรม_พ.ศ.-2566.pdf</x:v>
      </x:c>
      <x:c r="W16" s="24" t="str">
        <x:v>12-ANN-PMH-002-2566_-_-.-.-2566.pdf</x:v>
      </x:c>
      <x:c r="X16" s="24" t="str">
        <x:v>PDF</x:v>
      </x:c>
      <x:c r="Y16" s="26" t="n">
        <x:v>16</x:v>
      </x:c>
      <x:c r="Z16" s="23" t="n">
        <x:v>5980249</x:v>
      </x:c>
      <x:c r="AA16" s="19" t="str">
        <x:v>dbb4b35f5663013f3ba2d0d4e2903ef74ae28517a24c9b0d4e81f950f956e4ab</x:v>
      </x:c>
      <x:c r="AB16" s="19" t="str">
        <x:v>project_sources/12-ANN-PMH-002-2566_-_-.-.-2566.pdf</x:v>
      </x:c>
      <x:c r="AC16" s="19" t="str">
        <x:v>PUBLIC</x:v>
      </x:c>
      <x:c r="AD16" s="19" t="str">
        <x:v>TO BE ASSIGNED</x:v>
      </x:c>
      <x:c r="AE16" s="24" t="n">
        <x:v>46287</x:v>
      </x:c>
      <x:c r="AF16" s="27" t="str">
        <x:v>ชื่อเรื่องลงทะเบียนจากชื่อไฟล์; PDF เป็นภาพสแกน ต้องตรวจรายละเอียดจากฉบับทางการ</x:v>
      </x:c>
      <x:c r="AG16" s="27" t="str">
        <x:f>IF(COUNTIF($B$5:$B$29,B16)&gt;1,"DUPLICATE","OK")</x:f>
        <x:v>OK</x:v>
      </x:c>
      <x:c r="AH16" s="27" t="str">
        <x:f>IF(OR(B16="",C16="",D16="",N16=""),"MISSING REQUIRED FIELD","READY FOR REVIEW")</x:f>
        <x:v>READY FOR REVIEW</x:v>
      </x:c>
    </x:row>
    <x:row r="17" ht="64" customHeight="1">
      <x:c r="A17" s="24" t="n">
        <x:v>13</x:v>
      </x:c>
      <x:c r="B17" s="19" t="str">
        <x:v>ANN-PMH-003-2568</x:v>
      </x:c>
      <x:c r="C17" s="24" t="str">
        <x:v>ANN</x:v>
      </x:c>
      <x:c r="D17" s="20" t="str">
        <x:v>ประกาศคณะกรรมการส่งเสริมวิทยาศาสตร์ วิจัยและนวัตกรรม เรื่อง การจัดทำคำของบประมาณด้านการวิจัยและนวัตกรรม (ฉบับที่ 2) พ.ศ. 2568</x:v>
      </x:c>
      <x:c r="E17" s="20" t="str">
        <x:v>ประกาศการจัดทำคำของบประมาณฯ (ฉบับที่ 2) พ.ศ. 2568</x:v>
      </x:c>
      <x:c r="F17" s="20" t="str">
        <x:v>คณะกรรมการส่งเสริมวิทยาศาสตร์ วิจัยและนวัตกรรม</x:v>
      </x:c>
      <x:c r="G17" s="19" t="str">
        <x:v>ฉบับที่ 2</x:v>
      </x:c>
      <x:c r="H17" s="21"/>
      <x:c r="I17" s="25" t="n">
        <x:v>2568</x:v>
      </x:c>
      <x:c r="J17" s="21"/>
      <x:c r="K17" s="21"/>
      <x:c r="L17" s="24" t="str"/>
      <x:c r="M17" s="24" t="str">
        <x:v>0.1</x:v>
      </x:c>
      <x:c r="N17" s="24" t="str">
        <x:v>INDEXED</x:v>
      </x:c>
      <x:c r="O17" s="24" t="str">
        <x:v>SOURCE NOT VERIFIED</x:v>
      </x:c>
      <x:c r="P17" s="24" t="str">
        <x:v>SOURCE NOT VERIFIED</x:v>
      </x:c>
      <x:c r="Q17" s="20" t="str">
        <x:v>WS02</x:v>
      </x:c>
      <x:c r="R17" s="20" t="str">
        <x:v>ANN-PMH-002-2566</x:v>
      </x:c>
      <x:c r="S17" s="20" t="str">
        <x:v>ANN-PMH-002-2566</x:v>
      </x:c>
      <x:c r="T17" s="20" t="str"/>
      <x:c r="U17" s="20" t="str">
        <x:v>SOURCE NOT VERIFIED</x:v>
      </x:c>
      <x:c r="V17" s="20" t="str">
        <x:v>ANN-PMH-003-2568_ประกาศ-กสว-เรื่องการจัดทำคำของบประมาณด้านการวิจัยและนวัตกรรม-ฉบับที่-2_พ.ศ.-2568.pdf</x:v>
      </x:c>
      <x:c r="W17" s="24" t="str">
        <x:v>13-ANN-PMH-003-2568_-2_-.-.-2568.pdf</x:v>
      </x:c>
      <x:c r="X17" s="24" t="str">
        <x:v>PDF</x:v>
      </x:c>
      <x:c r="Y17" s="26" t="n">
        <x:v>2</x:v>
      </x:c>
      <x:c r="Z17" s="23" t="n">
        <x:v>575226</x:v>
      </x:c>
      <x:c r="AA17" s="19" t="str">
        <x:v>a6e133da6cf80de573de400a6c0944e2461ebb7231980d147938fb4e1bea7f3f</x:v>
      </x:c>
      <x:c r="AB17" s="19" t="str">
        <x:v>project_sources/13-ANN-PMH-003-2568_-2_-.-.-2568.pdf</x:v>
      </x:c>
      <x:c r="AC17" s="19" t="str">
        <x:v>PUBLIC</x:v>
      </x:c>
      <x:c r="AD17" s="19" t="str">
        <x:v>TO BE ASSIGNED</x:v>
      </x:c>
      <x:c r="AE17" s="24" t="n">
        <x:v>46287</x:v>
      </x:c>
      <x:c r="AF17" s="27" t="str">
        <x:v>จัดความสัมพันธ์เป็นฉบับแก้ไขเพิ่มเติม; ต้องยืนยันขอบเขตข้อที่แก้ไข</x:v>
      </x:c>
      <x:c r="AG17" s="27" t="str">
        <x:f>IF(COUNTIF($B$5:$B$29,B17)&gt;1,"DUPLICATE","OK")</x:f>
        <x:v>OK</x:v>
      </x:c>
      <x:c r="AH17" s="27" t="str">
        <x:f>IF(OR(B17="",C17="",D17="",N17=""),"MISSING REQUIRED FIELD","READY FOR REVIEW")</x:f>
        <x:v>READY FOR REVIEW</x:v>
      </x:c>
    </x:row>
    <x:row r="18" ht="64" customHeight="1">
      <x:c r="A18" s="24" t="n">
        <x:v>14</x:v>
      </x:c>
      <x:c r="B18" s="19" t="str">
        <x:v>ANN-PMH-004-2566</x:v>
      </x:c>
      <x:c r="C18" s="24" t="str">
        <x:v>ANN</x:v>
      </x:c>
      <x:c r="D18" s="20" t="str">
        <x:v>ประกาศคณะกรรมการส่งเสริมวิทยาศาสตร์ วิจัยและนวัตกรรม เรื่อง การจัดทำคำของบประมาณเพื่อสนับสนุนการพัฒนาด้านวิทยาศาสตร์และเทคโนโลยี พ.ศ. 2566</x:v>
      </x:c>
      <x:c r="E18" s="20" t="str">
        <x:v>ประกาศคำของบประมาณเพื่อสนับสนุนการพัฒนาด้าน วท. พ.ศ. 2566</x:v>
      </x:c>
      <x:c r="F18" s="20" t="str">
        <x:v>คณะกรรมการส่งเสริมวิทยาศาสตร์ วิจัยและนวัตกรรม</x:v>
      </x:c>
      <x:c r="G18" s="19" t="str"/>
      <x:c r="H18" s="21"/>
      <x:c r="I18" s="25" t="n">
        <x:v>2566</x:v>
      </x:c>
      <x:c r="J18" s="21"/>
      <x:c r="K18" s="21"/>
      <x:c r="L18" s="24" t="str"/>
      <x:c r="M18" s="24" t="str">
        <x:v>0.1</x:v>
      </x:c>
      <x:c r="N18" s="24" t="str">
        <x:v>INDEXED</x:v>
      </x:c>
      <x:c r="O18" s="24" t="str">
        <x:v>SOURCE NOT VERIFIED</x:v>
      </x:c>
      <x:c r="P18" s="24" t="str">
        <x:v>SOURCE NOT VERIFIED</x:v>
      </x:c>
      <x:c r="Q18" s="20" t="str">
        <x:v>WS02</x:v>
      </x:c>
      <x:c r="R18" s="20" t="str"/>
      <x:c r="S18" s="20" t="str"/>
      <x:c r="T18" s="20" t="str"/>
      <x:c r="U18" s="20" t="str">
        <x:v>SOURCE NOT VERIFIED</x:v>
      </x:c>
      <x:c r="V18" s="20" t="str">
        <x:v>ANN-PMH-004-2566_ประกาศ-กสว-เรื่องการจัดทำคำของบประมาณเพื่อสนับสนุนการพัฒนาด้านวิทยาศาสตร์และเทคโนโลยี_พ.ศ.-2566.pdf</x:v>
      </x:c>
      <x:c r="W18" s="24" t="str">
        <x:v>14-ANN-PMH-004-2566_-_-.-.-2566.pdf</x:v>
      </x:c>
      <x:c r="X18" s="24" t="str">
        <x:v>PDF</x:v>
      </x:c>
      <x:c r="Y18" s="26" t="n">
        <x:v>8</x:v>
      </x:c>
      <x:c r="Z18" s="23" t="n">
        <x:v>1057028</x:v>
      </x:c>
      <x:c r="AA18" s="19" t="str">
        <x:v>00c24f44ba4eec18142e85045e1d74fa02e24b86aeb0d82016cd9a54dc9a1fa3</x:v>
      </x:c>
      <x:c r="AB18" s="19" t="str">
        <x:v>project_sources/14-ANN-PMH-004-2566_-_-.-.-2566.pdf</x:v>
      </x:c>
      <x:c r="AC18" s="19" t="str">
        <x:v>PUBLIC</x:v>
      </x:c>
      <x:c r="AD18" s="19" t="str">
        <x:v>TO BE ASSIGNED</x:v>
      </x:c>
      <x:c r="AE18" s="24" t="n">
        <x:v>46287</x:v>
      </x:c>
      <x:c r="AF18" s="27" t="str">
        <x:v>ชื่อเรื่องลงทะเบียนจากชื่อไฟล์; ต้องตรวจวันที่ประกาศและวันใช้บังคับ</x:v>
      </x:c>
      <x:c r="AG18" s="27" t="str">
        <x:f>IF(COUNTIF($B$5:$B$29,B18)&gt;1,"DUPLICATE","OK")</x:f>
        <x:v>OK</x:v>
      </x:c>
      <x:c r="AH18" s="27" t="str">
        <x:f>IF(OR(B18="",C18="",D18="",N18=""),"MISSING REQUIRED FIELD","READY FOR REVIEW")</x:f>
        <x:v>READY FOR REVIEW</x:v>
      </x:c>
    </x:row>
    <x:row r="19" ht="64" customHeight="1">
      <x:c r="A19" s="24" t="n">
        <x:v>15</x:v>
      </x:c>
      <x:c r="B19" s="19" t="str">
        <x:v>ANN-PMH-005-2568</x:v>
      </x:c>
      <x:c r="C19" s="24" t="str">
        <x:v>ANN</x:v>
      </x:c>
      <x:c r="D19" s="20" t="str">
        <x:v>ประกาศคณะกรรมการส่งเสริมวิทยาศาสตร์ วิจัยและนวัตกรรม เรื่อง การจัดทำคำของบประมาณเพื่อสนับสนุนการพัฒนาด้านวิทยาศาสตร์และเทคโนโลยี (ฉบับที่ 2) พ.ศ. 2568</x:v>
      </x:c>
      <x:c r="E19" s="20" t="str">
        <x:v>ประกาศคำของบประมาณด้าน วท. (ฉบับที่ 2) พ.ศ. 2568</x:v>
      </x:c>
      <x:c r="F19" s="20" t="str">
        <x:v>คณะกรรมการส่งเสริมวิทยาศาสตร์ วิจัยและนวัตกรรม</x:v>
      </x:c>
      <x:c r="G19" s="19" t="str">
        <x:v>ฉบับที่ 2</x:v>
      </x:c>
      <x:c r="H19" s="21"/>
      <x:c r="I19" s="25" t="n">
        <x:v>2568</x:v>
      </x:c>
      <x:c r="J19" s="21"/>
      <x:c r="K19" s="21"/>
      <x:c r="L19" s="24" t="str"/>
      <x:c r="M19" s="24" t="str">
        <x:v>0.1</x:v>
      </x:c>
      <x:c r="N19" s="24" t="str">
        <x:v>INDEXED</x:v>
      </x:c>
      <x:c r="O19" s="24" t="str">
        <x:v>SOURCE NOT VERIFIED</x:v>
      </x:c>
      <x:c r="P19" s="24" t="str">
        <x:v>SOURCE NOT VERIFIED</x:v>
      </x:c>
      <x:c r="Q19" s="20" t="str">
        <x:v>WS02</x:v>
      </x:c>
      <x:c r="R19" s="20" t="str">
        <x:v>ANN-PMH-004-2566</x:v>
      </x:c>
      <x:c r="S19" s="20" t="str">
        <x:v>ANN-PMH-004-2566</x:v>
      </x:c>
      <x:c r="T19" s="20" t="str"/>
      <x:c r="U19" s="20" t="str">
        <x:v>SOURCE NOT VERIFIED</x:v>
      </x:c>
      <x:c r="V19" s="20" t="str">
        <x:v>ANN-PMH-005-2568_ประกาศ-กสว-เรื่องการจัดทำคำของบประมาณเพื่อสนับสนุนการพัฒนาด้านวิทยาศาสตร์และเทคโนโลยี-ฉบับที่-2_พ.ศ.-2568.pdf</x:v>
      </x:c>
      <x:c r="W19" s="24" t="str">
        <x:v>15-ANN-PMH-005-2568_-2_-.-.-2568.pdf</x:v>
      </x:c>
      <x:c r="X19" s="24" t="str">
        <x:v>PDF</x:v>
      </x:c>
      <x:c r="Y19" s="26" t="n">
        <x:v>5</x:v>
      </x:c>
      <x:c r="Z19" s="23" t="n">
        <x:v>763167</x:v>
      </x:c>
      <x:c r="AA19" s="19" t="str">
        <x:v>fdc10a4aee845b57a9d3d3cbe388ca8f3dada998f25956b526728875b7c970a8</x:v>
      </x:c>
      <x:c r="AB19" s="19" t="str">
        <x:v>project_sources/15-ANN-PMH-005-2568_-2_-.-.-2568.pdf</x:v>
      </x:c>
      <x:c r="AC19" s="19" t="str">
        <x:v>PUBLIC</x:v>
      </x:c>
      <x:c r="AD19" s="19" t="str">
        <x:v>TO BE ASSIGNED</x:v>
      </x:c>
      <x:c r="AE19" s="24" t="n">
        <x:v>46287</x:v>
      </x:c>
      <x:c r="AF19" s="27" t="str">
        <x:v>จัดความสัมพันธ์เป็นฉบับแก้ไขเพิ่มเติม; ต้องยืนยันขอบเขตข้อที่แก้ไข</x:v>
      </x:c>
      <x:c r="AG19" s="27" t="str">
        <x:f>IF(COUNTIF($B$5:$B$29,B19)&gt;1,"DUPLICATE","OK")</x:f>
        <x:v>OK</x:v>
      </x:c>
      <x:c r="AH19" s="27" t="str">
        <x:f>IF(OR(B19="",C19="",D19="",N19=""),"MISSING REQUIRED FIELD","READY FOR REVIEW")</x:f>
        <x:v>READY FOR REVIEW</x:v>
      </x:c>
    </x:row>
    <x:row r="20" ht="64" customHeight="1">
      <x:c r="A20" s="24" t="n">
        <x:v>16</x:v>
      </x:c>
      <x:c r="B20" s="19" t="str">
        <x:v>ANN-PMH-006-2566</x:v>
      </x:c>
      <x:c r="C20" s="24" t="str">
        <x:v>ANN</x:v>
      </x:c>
      <x:c r="D20" s="20" t="str">
        <x:v>ประกาศคณะกรรมการส่งเสริมวิทยาศาสตร์ วิจัยและนวัตกรรม เรื่อง การจัดทำคำของบประมาณเพื่อสนับสนุนการขับเคลื่อนการนำผลงานไปใช้ประโยชน์ พ.ศ. 2566</x:v>
      </x:c>
      <x:c r="E20" s="20" t="str">
        <x:v>ประกาศคำของบประมาณเพื่อขับเคลื่อนการนำผลงานไปใช้ประโยชน์ พ.ศ. 2566</x:v>
      </x:c>
      <x:c r="F20" s="20" t="str">
        <x:v>คณะกรรมการส่งเสริมวิทยาศาสตร์ วิจัยและนวัตกรรม</x:v>
      </x:c>
      <x:c r="G20" s="19" t="str"/>
      <x:c r="H20" s="21"/>
      <x:c r="I20" s="25" t="n">
        <x:v>2566</x:v>
      </x:c>
      <x:c r="J20" s="21"/>
      <x:c r="K20" s="21"/>
      <x:c r="L20" s="24" t="str"/>
      <x:c r="M20" s="24" t="str">
        <x:v>0.1</x:v>
      </x:c>
      <x:c r="N20" s="24" t="str">
        <x:v>INDEXED</x:v>
      </x:c>
      <x:c r="O20" s="24" t="str">
        <x:v>SOURCE NOT VERIFIED</x:v>
      </x:c>
      <x:c r="P20" s="24" t="str">
        <x:v>SOURCE NOT VERIFIED</x:v>
      </x:c>
      <x:c r="Q20" s="20" t="str">
        <x:v>WS02</x:v>
      </x:c>
      <x:c r="R20" s="20" t="str"/>
      <x:c r="S20" s="20" t="str"/>
      <x:c r="T20" s="20" t="str"/>
      <x:c r="U20" s="20" t="str">
        <x:v>SOURCE NOT VERIFIED</x:v>
      </x:c>
      <x:c r="V20" s="20" t="str">
        <x:v>ANN-PMH-006-2566_ประกาศ-กสว-เรื่องการจัดทำคำของบประมาณเพื่อสนับสนุนการขับเคลื่อนการนำผลงานไปใช้ประโยชน์_พ.ศ.-2566.pdf</x:v>
      </x:c>
      <x:c r="W20" s="24" t="str">
        <x:v>16-ANN-PMH-006-2566_-_-.-.-2566.pdf</x:v>
      </x:c>
      <x:c r="X20" s="24" t="str">
        <x:v>PDF</x:v>
      </x:c>
      <x:c r="Y20" s="26" t="n">
        <x:v>5</x:v>
      </x:c>
      <x:c r="Z20" s="23" t="n">
        <x:v>857074</x:v>
      </x:c>
      <x:c r="AA20" s="19" t="str">
        <x:v>560d7c4c9672954259cefa4448ee01c218be45f0c2cefb1a8fed3840b946ae51</x:v>
      </x:c>
      <x:c r="AB20" s="19" t="str">
        <x:v>project_sources/16-ANN-PMH-006-2566_-_-.-.-2566.pdf</x:v>
      </x:c>
      <x:c r="AC20" s="19" t="str">
        <x:v>PUBLIC</x:v>
      </x:c>
      <x:c r="AD20" s="19" t="str">
        <x:v>TO BE ASSIGNED</x:v>
      </x:c>
      <x:c r="AE20" s="24" t="n">
        <x:v>46287</x:v>
      </x:c>
      <x:c r="AF20" s="27" t="str">
        <x:v>ชื่อเรื่องลงทะเบียนจากชื่อไฟล์; ต้องตรวจวันที่ประกาศและวันใช้บังคับ</x:v>
      </x:c>
      <x:c r="AG20" s="27" t="str">
        <x:f>IF(COUNTIF($B$5:$B$29,B20)&gt;1,"DUPLICATE","OK")</x:f>
        <x:v>OK</x:v>
      </x:c>
      <x:c r="AH20" s="27" t="str">
        <x:f>IF(OR(B20="",C20="",D20="",N20=""),"MISSING REQUIRED FIELD","READY FOR REVIEW")</x:f>
        <x:v>READY FOR REVIEW</x:v>
      </x:c>
    </x:row>
    <x:row r="21" ht="64" customHeight="1">
      <x:c r="A21" s="24" t="n">
        <x:v>17</x:v>
      </x:c>
      <x:c r="B21" s="19" t="str">
        <x:v>ANN-PMH-007-2563</x:v>
      </x:c>
      <x:c r="C21" s="24" t="str">
        <x:v>ANN</x:v>
      </x:c>
      <x:c r="D21" s="20" t="str">
        <x:v>ประกาศคณะกรรมการส่งเสริมวิทยาศาสตร์ วิจัยและนวัตกรรม เรื่อง การนำเงินกองทุนส่งเสริมวิทยาศาสตร์ การวิจัยและนวัตกรรมไปหาผลประโยชน์ พ.ศ. 2563</x:v>
      </x:c>
      <x:c r="E21" s="20" t="str">
        <x:v>ประกาศการนำเงินกองทุนไปหาผลประโยชน์ พ.ศ. 2563</x:v>
      </x:c>
      <x:c r="F21" s="20" t="str">
        <x:v>คณะกรรมการส่งเสริมวิทยาศาสตร์ วิจัยและนวัตกรรม</x:v>
      </x:c>
      <x:c r="G21" s="19" t="str"/>
      <x:c r="H21" s="21"/>
      <x:c r="I21" s="25" t="n">
        <x:v>2563</x:v>
      </x:c>
      <x:c r="J21" s="21"/>
      <x:c r="K21" s="21"/>
      <x:c r="L21" s="24" t="str"/>
      <x:c r="M21" s="24" t="str">
        <x:v>0.1</x:v>
      </x:c>
      <x:c r="N21" s="24" t="str">
        <x:v>INDEXED</x:v>
      </x:c>
      <x:c r="O21" s="24" t="str">
        <x:v>SOURCE NOT VERIFIED</x:v>
      </x:c>
      <x:c r="P21" s="24" t="str">
        <x:v>SOURCE NOT VERIFIED</x:v>
      </x:c>
      <x:c r="Q21" s="20" t="str">
        <x:v>WS02</x:v>
      </x:c>
      <x:c r="R21" s="20" t="str"/>
      <x:c r="S21" s="20" t="str"/>
      <x:c r="T21" s="20" t="str"/>
      <x:c r="U21" s="20" t="str">
        <x:v>SOURCE NOT VERIFIED</x:v>
      </x:c>
      <x:c r="V21" s="20" t="str">
        <x:v>ANN-PMH-007-2563_ประกาศ-กสว-เรื่องการนำเงินกองทุนไปหาผลประโยชน์_พ.ศ.-2563.pdf</x:v>
      </x:c>
      <x:c r="W21" s="24" t="str">
        <x:v>17-ANN-PMH-007-2563_-_-.-.-2563.pdf</x:v>
      </x:c>
      <x:c r="X21" s="24" t="str">
        <x:v>PDF</x:v>
      </x:c>
      <x:c r="Y21" s="26" t="n">
        <x:v>2</x:v>
      </x:c>
      <x:c r="Z21" s="23" t="n">
        <x:v>1296640</x:v>
      </x:c>
      <x:c r="AA21" s="19" t="str">
        <x:v>8ad24012aa44f23fae16e5cf13d4b6a05270411b7f1562a69813f846978fd0d1</x:v>
      </x:c>
      <x:c r="AB21" s="19" t="str">
        <x:v>project_sources/17-ANN-PMH-007-2563_-_-.-.-2563.pdf</x:v>
      </x:c>
      <x:c r="AC21" s="19" t="str">
        <x:v>PUBLIC</x:v>
      </x:c>
      <x:c r="AD21" s="19" t="str">
        <x:v>TO BE ASSIGNED</x:v>
      </x:c>
      <x:c r="AE21" s="24" t="n">
        <x:v>46287</x:v>
      </x:c>
      <x:c r="AF21" s="27" t="str">
        <x:v>ชื่อเรื่องลงทะเบียนจากชื่อไฟล์; ต้องตรวจวันที่ประกาศและวันใช้บังคับ</x:v>
      </x:c>
      <x:c r="AG21" s="27" t="str">
        <x:f>IF(COUNTIF($B$5:$B$29,B21)&gt;1,"DUPLICATE","OK")</x:f>
        <x:v>OK</x:v>
      </x:c>
      <x:c r="AH21" s="27" t="str">
        <x:f>IF(OR(B21="",C21="",D21="",N21=""),"MISSING REQUIRED FIELD","READY FOR REVIEW")</x:f>
        <x:v>READY FOR REVIEW</x:v>
      </x:c>
    </x:row>
    <x:row r="22" ht="64" customHeight="1">
      <x:c r="A22" s="24" t="n">
        <x:v>18</x:v>
      </x:c>
      <x:c r="B22" s="19" t="str">
        <x:v>ANN-PMH-008-2565</x:v>
      </x:c>
      <x:c r="C22" s="24" t="str">
        <x:v>ANN</x:v>
      </x:c>
      <x:c r="D22" s="20" t="str">
        <x:v>ประกาศคณะกรรมการส่งเสริมวิทยาศาสตร์ วิจัยและนวัตกรรม เรื่อง การใช้จ่ายเงินอุดหนุนของหน่วยบริหารและจัดการทุน (PMU) พ.ศ. 2565</x:v>
      </x:c>
      <x:c r="E22" s="20" t="str">
        <x:v>ประกาศการใช้จ่ายเงินอุดหนุนของ PMU พ.ศ. 2565</x:v>
      </x:c>
      <x:c r="F22" s="20" t="str">
        <x:v>คณะกรรมการส่งเสริมวิทยาศาสตร์ วิจัยและนวัตกรรม</x:v>
      </x:c>
      <x:c r="G22" s="19" t="str"/>
      <x:c r="H22" s="21"/>
      <x:c r="I22" s="25" t="n">
        <x:v>2565</x:v>
      </x:c>
      <x:c r="J22" s="21"/>
      <x:c r="K22" s="21"/>
      <x:c r="L22" s="24" t="str"/>
      <x:c r="M22" s="24" t="str">
        <x:v>0.1</x:v>
      </x:c>
      <x:c r="N22" s="24" t="str">
        <x:v>INDEXED</x:v>
      </x:c>
      <x:c r="O22" s="24" t="str">
        <x:v>SOURCE NOT VERIFIED</x:v>
      </x:c>
      <x:c r="P22" s="24" t="str">
        <x:v>SOURCE NOT VERIFIED</x:v>
      </x:c>
      <x:c r="Q22" s="20" t="str">
        <x:v>WS02</x:v>
      </x:c>
      <x:c r="R22" s="20" t="str"/>
      <x:c r="S22" s="20" t="str"/>
      <x:c r="T22" s="20" t="str"/>
      <x:c r="U22" s="20" t="str">
        <x:v>SOURCE NOT VERIFIED</x:v>
      </x:c>
      <x:c r="V22" s="20" t="str">
        <x:v>ANN-PMH-008-2565_ประกาศ-กสว-เรื่องการใช้จ่ายเงินอุดหนุนของ-PMU_พ.ศ.-2565.pdf</x:v>
      </x:c>
      <x:c r="W22" s="24" t="str">
        <x:v>18-ANN-PMH-008-2565_-PMU_-.-.-2565.pdf</x:v>
      </x:c>
      <x:c r="X22" s="24" t="str">
        <x:v>PDF</x:v>
      </x:c>
      <x:c r="Y22" s="26" t="n">
        <x:v>5</x:v>
      </x:c>
      <x:c r="Z22" s="23" t="n">
        <x:v>1850166</x:v>
      </x:c>
      <x:c r="AA22" s="19" t="str">
        <x:v>15cdeb894547c6f78940d8460877a8d32180fdb0d29a7bb9b42e43354b95e072</x:v>
      </x:c>
      <x:c r="AB22" s="19" t="str">
        <x:v>project_sources/18-ANN-PMH-008-2565_-PMU_-.-.-2565.pdf</x:v>
      </x:c>
      <x:c r="AC22" s="19" t="str">
        <x:v>PUBLIC</x:v>
      </x:c>
      <x:c r="AD22" s="19" t="str">
        <x:v>TO BE ASSIGNED</x:v>
      </x:c>
      <x:c r="AE22" s="24" t="n">
        <x:v>46287</x:v>
      </x:c>
      <x:c r="AF22" s="27" t="str">
        <x:v>ชื่อเรื่องลงทะเบียนจากชื่อไฟล์; ต้องตรวจชื่อทางการ วันที่ประกาศ และวันใช้บังคับ</x:v>
      </x:c>
      <x:c r="AG22" s="27" t="str">
        <x:f>IF(COUNTIF($B$5:$B$29,B22)&gt;1,"DUPLICATE","OK")</x:f>
        <x:v>OK</x:v>
      </x:c>
      <x:c r="AH22" s="27" t="str">
        <x:f>IF(OR(B22="",C22="",D22="",N22=""),"MISSING REQUIRED FIELD","READY FOR REVIEW")</x:f>
        <x:v>READY FOR REVIEW</x:v>
      </x:c>
    </x:row>
    <x:row r="23" ht="64" customHeight="1">
      <x:c r="A23" s="24" t="n">
        <x:v>19</x:v>
      </x:c>
      <x:c r="B23" s="19" t="str">
        <x:v>ANN-PMH-009-2567</x:v>
      </x:c>
      <x:c r="C23" s="24" t="str">
        <x:v>ANN</x:v>
      </x:c>
      <x:c r="D23" s="20" t="str">
        <x:v>ประกาศคณะกรรมการส่งเสริมวิทยาศาสตร์ วิจัยและนวัตกรรม เรื่อง การใช้จ่ายเงินอุดหนุนของหน่วยบริหารและจัดการทุน (PMU) (ฉบับที่ 2) พ.ศ. 2567</x:v>
      </x:c>
      <x:c r="E23" s="20" t="str">
        <x:v>ประกาศการใช้จ่ายเงินอุดหนุนของ PMU (ฉบับที่ 2) พ.ศ. 2567</x:v>
      </x:c>
      <x:c r="F23" s="20" t="str">
        <x:v>คณะกรรมการส่งเสริมวิทยาศาสตร์ วิจัยและนวัตกรรม</x:v>
      </x:c>
      <x:c r="G23" s="19" t="str">
        <x:v>ฉบับที่ 2</x:v>
      </x:c>
      <x:c r="H23" s="21"/>
      <x:c r="I23" s="25" t="n">
        <x:v>2567</x:v>
      </x:c>
      <x:c r="J23" s="21"/>
      <x:c r="K23" s="21"/>
      <x:c r="L23" s="24" t="str"/>
      <x:c r="M23" s="24" t="str">
        <x:v>0.1</x:v>
      </x:c>
      <x:c r="N23" s="24" t="str">
        <x:v>INDEXED</x:v>
      </x:c>
      <x:c r="O23" s="24" t="str">
        <x:v>SOURCE NOT VERIFIED</x:v>
      </x:c>
      <x:c r="P23" s="24" t="str">
        <x:v>SOURCE NOT VERIFIED</x:v>
      </x:c>
      <x:c r="Q23" s="20" t="str">
        <x:v>WS02</x:v>
      </x:c>
      <x:c r="R23" s="20" t="str">
        <x:v>ANN-PMH-008-2565</x:v>
      </x:c>
      <x:c r="S23" s="20" t="str">
        <x:v>ANN-PMH-008-2565</x:v>
      </x:c>
      <x:c r="T23" s="20" t="str"/>
      <x:c r="U23" s="20" t="str">
        <x:v>SOURCE NOT VERIFIED</x:v>
      </x:c>
      <x:c r="V23" s="20" t="str">
        <x:v>ANN-PMH-009-2567_ประกาศ-กสว-เรื่องการใช้จ่ายเงินอุดหนุนของ-PMU-ฉบับที่-2_พ.ศ.-2567.pdf</x:v>
      </x:c>
      <x:c r="W23" s="24" t="str">
        <x:v>19-ANN-PMH-009-2567_-PMU-2_-.-.-2567.pdf</x:v>
      </x:c>
      <x:c r="X23" s="24" t="str">
        <x:v>PDF</x:v>
      </x:c>
      <x:c r="Y23" s="26" t="n">
        <x:v>2</x:v>
      </x:c>
      <x:c r="Z23" s="23" t="n">
        <x:v>618846</x:v>
      </x:c>
      <x:c r="AA23" s="19" t="str">
        <x:v>1b35110125030fbfaf1bcc424ff0404ff5a3aaceedf7663e8db32255967b714a</x:v>
      </x:c>
      <x:c r="AB23" s="19" t="str">
        <x:v>project_sources/19-ANN-PMH-009-2567_-PMU-2_-.-.-2567.pdf</x:v>
      </x:c>
      <x:c r="AC23" s="19" t="str">
        <x:v>PUBLIC</x:v>
      </x:c>
      <x:c r="AD23" s="19" t="str">
        <x:v>TO BE ASSIGNED</x:v>
      </x:c>
      <x:c r="AE23" s="24" t="n">
        <x:v>46287</x:v>
      </x:c>
      <x:c r="AF23" s="27" t="str">
        <x:v>จัดความสัมพันธ์เป็นฉบับแก้ไขเพิ่มเติม; ต้องยืนยันขอบเขตข้อที่แก้ไข</x:v>
      </x:c>
      <x:c r="AG23" s="27" t="str">
        <x:f>IF(COUNTIF($B$5:$B$29,B23)&gt;1,"DUPLICATE","OK")</x:f>
        <x:v>OK</x:v>
      </x:c>
      <x:c r="AH23" s="27" t="str">
        <x:f>IF(OR(B23="",C23="",D23="",N23=""),"MISSING REQUIRED FIELD","READY FOR REVIEW")</x:f>
        <x:v>READY FOR REVIEW</x:v>
      </x:c>
    </x:row>
    <x:row r="24" ht="64" customHeight="1">
      <x:c r="A24" s="24" t="n">
        <x:v>20</x:v>
      </x:c>
      <x:c r="B24" s="19" t="str">
        <x:v>ANN-PMH-010-2568</x:v>
      </x:c>
      <x:c r="C24" s="24" t="str">
        <x:v>ANN</x:v>
      </x:c>
      <x:c r="D24" s="20" t="str">
        <x:v>ประกาศคณะกรรมการส่งเสริมวิทยาศาสตร์ วิจัยและนวัตกรรม เรื่อง การใช้จ่ายเงินอุดหนุนของหน่วยบริหารและจัดการทุน (PMU) (ฉบับที่ 3) พ.ศ. 2568</x:v>
      </x:c>
      <x:c r="E24" s="20" t="str">
        <x:v>ประกาศการใช้จ่ายเงินอุดหนุนของ PMU (ฉบับที่ 3) พ.ศ. 2568</x:v>
      </x:c>
      <x:c r="F24" s="20" t="str">
        <x:v>คณะกรรมการส่งเสริมวิทยาศาสตร์ วิจัยและนวัตกรรม</x:v>
      </x:c>
      <x:c r="G24" s="19" t="str">
        <x:v>ฉบับที่ 3</x:v>
      </x:c>
      <x:c r="H24" s="21"/>
      <x:c r="I24" s="25" t="n">
        <x:v>2568</x:v>
      </x:c>
      <x:c r="J24" s="21"/>
      <x:c r="K24" s="21"/>
      <x:c r="L24" s="24" t="str"/>
      <x:c r="M24" s="24" t="str">
        <x:v>0.1</x:v>
      </x:c>
      <x:c r="N24" s="24" t="str">
        <x:v>INDEXED</x:v>
      </x:c>
      <x:c r="O24" s="24" t="str">
        <x:v>SOURCE NOT VERIFIED</x:v>
      </x:c>
      <x:c r="P24" s="24" t="str">
        <x:v>SOURCE NOT VERIFIED</x:v>
      </x:c>
      <x:c r="Q24" s="20" t="str">
        <x:v>WS02</x:v>
      </x:c>
      <x:c r="R24" s="20" t="str">
        <x:v>ANN-PMH-008-2565</x:v>
      </x:c>
      <x:c r="S24" s="20" t="str">
        <x:v>ANN-PMH-008-2565;ANN-PMH-009-2567</x:v>
      </x:c>
      <x:c r="T24" s="20" t="str"/>
      <x:c r="U24" s="20" t="str">
        <x:v>SOURCE NOT VERIFIED</x:v>
      </x:c>
      <x:c r="V24" s="20" t="str">
        <x:v>ANN-PMH-010-2568_ประกาศ-กสว-เรื่องการใช้จ่ายเงินอุดหนุนของ-PMU-ฉบับที่-3_พ.ศ.-2568.pdf</x:v>
      </x:c>
      <x:c r="W24" s="24" t="str">
        <x:v>20-ANN-PMH-010-2568_-PMU-3_-.-.-2568.pdf</x:v>
      </x:c>
      <x:c r="X24" s="24" t="str">
        <x:v>PDF</x:v>
      </x:c>
      <x:c r="Y24" s="26" t="n">
        <x:v>2</x:v>
      </x:c>
      <x:c r="Z24" s="23" t="n">
        <x:v>597384</x:v>
      </x:c>
      <x:c r="AA24" s="19" t="str">
        <x:v>bfcad0edcfe3aee3fee8ff80688eaff307b835515fc0722aa6850620986141a0</x:v>
      </x:c>
      <x:c r="AB24" s="19" t="str">
        <x:v>project_sources/20-ANN-PMH-010-2568_-PMU-3_-.-.-2568.pdf</x:v>
      </x:c>
      <x:c r="AC24" s="19" t="str">
        <x:v>PUBLIC</x:v>
      </x:c>
      <x:c r="AD24" s="19" t="str">
        <x:v>TO BE ASSIGNED</x:v>
      </x:c>
      <x:c r="AE24" s="24" t="n">
        <x:v>46287</x:v>
      </x:c>
      <x:c r="AF24" s="27" t="str">
        <x:v>ความสัมพันธ์กับฉบับที่ 2 ต้องตรวจจากบทแก้ไขโดยผู้เชี่ยวชาญ</x:v>
      </x:c>
      <x:c r="AG24" s="27" t="str">
        <x:f>IF(COUNTIF($B$5:$B$29,B24)&gt;1,"DUPLICATE","OK")</x:f>
        <x:v>OK</x:v>
      </x:c>
      <x:c r="AH24" s="27" t="str">
        <x:f>IF(OR(B24="",C24="",D24="",N24=""),"MISSING REQUIRED FIELD","READY FOR REVIEW")</x:f>
        <x:v>READY FOR REVIEW</x:v>
      </x:c>
    </x:row>
    <x:row r="25" ht="64" customHeight="1">
      <x:c r="A25" s="24" t="n">
        <x:v>21</x:v>
      </x:c>
      <x:c r="B25" s="19" t="str">
        <x:v>ANN-PMH-011-2564</x:v>
      </x:c>
      <x:c r="C25" s="24" t="str">
        <x:v>ANN</x:v>
      </x:c>
      <x:c r="D25" s="20" t="str">
        <x:v>ประกาศคณะกรรมการส่งเสริมวิทยาศาสตร์ วิจัยและนวัตกรรม เรื่อง การปรับงบประมาณระหว่างปีงบประมาณ พ.ศ. 2564</x:v>
      </x:c>
      <x:c r="E25" s="20" t="str">
        <x:v>ประกาศการปรับงบประมาณระหว่างปีงบประมาณ พ.ศ. 2564</x:v>
      </x:c>
      <x:c r="F25" s="20" t="str">
        <x:v>คณะกรรมการส่งเสริมวิทยาศาสตร์ วิจัยและนวัตกรรม</x:v>
      </x:c>
      <x:c r="G25" s="19" t="str"/>
      <x:c r="H25" s="21"/>
      <x:c r="I25" s="25" t="n">
        <x:v>2564</x:v>
      </x:c>
      <x:c r="J25" s="21"/>
      <x:c r="K25" s="21"/>
      <x:c r="L25" s="24" t="str"/>
      <x:c r="M25" s="24" t="str">
        <x:v>0.1</x:v>
      </x:c>
      <x:c r="N25" s="24" t="str">
        <x:v>INDEXED</x:v>
      </x:c>
      <x:c r="O25" s="24" t="str">
        <x:v>SOURCE NOT VERIFIED</x:v>
      </x:c>
      <x:c r="P25" s="24" t="str">
        <x:v>SOURCE NOT VERIFIED</x:v>
      </x:c>
      <x:c r="Q25" s="20" t="str">
        <x:v>WS02</x:v>
      </x:c>
      <x:c r="R25" s="20" t="str"/>
      <x:c r="S25" s="20" t="str"/>
      <x:c r="T25" s="20" t="str"/>
      <x:c r="U25" s="20" t="str">
        <x:v>SOURCE NOT VERIFIED</x:v>
      </x:c>
      <x:c r="V25" s="20" t="str">
        <x:v>ANN-PMH-011-2564_ประกาศ-กสว-เรื่องการปรับงบประมาณระหว่างปีงบประมาณ_พ.ศ.-2564.pdf</x:v>
      </x:c>
      <x:c r="W25" s="24" t="str">
        <x:v>21-ANN-PMH-011-2564_-_-.-.-2564.pdf</x:v>
      </x:c>
      <x:c r="X25" s="24" t="str">
        <x:v>PDF</x:v>
      </x:c>
      <x:c r="Y25" s="26" t="n">
        <x:v>2</x:v>
      </x:c>
      <x:c r="Z25" s="23" t="n">
        <x:v>1598182</x:v>
      </x:c>
      <x:c r="AA25" s="19" t="str">
        <x:v>ba5e7bde72cdea24053876503b5488d3f513f254348764cc4a02279b94af39a9</x:v>
      </x:c>
      <x:c r="AB25" s="19" t="str">
        <x:v>project_sources/21-ANN-PMH-011-2564_-_-.-.-2564.pdf</x:v>
      </x:c>
      <x:c r="AC25" s="19" t="str">
        <x:v>PUBLIC</x:v>
      </x:c>
      <x:c r="AD25" s="19" t="str">
        <x:v>TO BE ASSIGNED</x:v>
      </x:c>
      <x:c r="AE25" s="24" t="n">
        <x:v>46287</x:v>
      </x:c>
      <x:c r="AF25" s="27" t="str">
        <x:v>ชื่อเรื่องลงทะเบียนจากชื่อไฟล์; ต้องตรวจวันที่ประกาศและวันใช้บังคับ</x:v>
      </x:c>
      <x:c r="AG25" s="27" t="str">
        <x:f>IF(COUNTIF($B$5:$B$29,B25)&gt;1,"DUPLICATE","OK")</x:f>
        <x:v>OK</x:v>
      </x:c>
      <x:c r="AH25" s="27" t="str">
        <x:f>IF(OR(B25="",C25="",D25="",N25=""),"MISSING REQUIRED FIELD","READY FOR REVIEW")</x:f>
        <x:v>READY FOR REVIEW</x:v>
      </x:c>
    </x:row>
    <x:row r="26" ht="64" customHeight="1">
      <x:c r="A26" s="24" t="n">
        <x:v>22</x:v>
      </x:c>
      <x:c r="B26" s="19" t="str">
        <x:v>ANN-PMH-012-2566</x:v>
      </x:c>
      <x:c r="C26" s="24" t="str">
        <x:v>ANN</x:v>
      </x:c>
      <x:c r="D26" s="20" t="str">
        <x:v>ประกาศคณะกรรมการส่งเสริมวิทยาศาสตร์ วิจัยและนวัตกรรม เรื่อง การส่งเสริมและสนับสนุนความร่วมมือ พ.ศ. 2566</x:v>
      </x:c>
      <x:c r="E26" s="20" t="str">
        <x:v>ประกาศการส่งเสริมและสนับสนุนความร่วมมือ พ.ศ. 2566</x:v>
      </x:c>
      <x:c r="F26" s="20" t="str">
        <x:v>คณะกรรมการส่งเสริมวิทยาศาสตร์ วิจัยและนวัตกรรม</x:v>
      </x:c>
      <x:c r="G26" s="19" t="str"/>
      <x:c r="H26" s="21"/>
      <x:c r="I26" s="25" t="n">
        <x:v>2566</x:v>
      </x:c>
      <x:c r="J26" s="21"/>
      <x:c r="K26" s="21"/>
      <x:c r="L26" s="24" t="str"/>
      <x:c r="M26" s="24" t="str">
        <x:v>0.1</x:v>
      </x:c>
      <x:c r="N26" s="24" t="str">
        <x:v>INDEXED</x:v>
      </x:c>
      <x:c r="O26" s="24" t="str">
        <x:v>SOURCE NOT VERIFIED</x:v>
      </x:c>
      <x:c r="P26" s="24" t="str">
        <x:v>SOURCE NOT VERIFIED</x:v>
      </x:c>
      <x:c r="Q26" s="20" t="str">
        <x:v>WS02</x:v>
      </x:c>
      <x:c r="R26" s="20" t="str"/>
      <x:c r="S26" s="20" t="str"/>
      <x:c r="T26" s="20" t="str"/>
      <x:c r="U26" s="20" t="str">
        <x:v>SOURCE NOT VERIFIED</x:v>
      </x:c>
      <x:c r="V26" s="20" t="str">
        <x:v>ANN-PMH-012-2566_ประกาศ-กสว-เรื่องการส่งเสริมและสนับสนุนความร่วมมือ_พ.ศ.-2566.pdf</x:v>
      </x:c>
      <x:c r="W26" s="24" t="str">
        <x:v>22-ANN-PMH-012-2566_-_-.-.-2566.pdf</x:v>
      </x:c>
      <x:c r="X26" s="24" t="str">
        <x:v>PDF</x:v>
      </x:c>
      <x:c r="Y26" s="26" t="n">
        <x:v>6</x:v>
      </x:c>
      <x:c r="Z26" s="23" t="n">
        <x:v>2891150</x:v>
      </x:c>
      <x:c r="AA26" s="19" t="str">
        <x:v>89b8189a86bc63217fe753b480d6b838e8caa3bf271c0a49d03fde0ca523f0c7</x:v>
      </x:c>
      <x:c r="AB26" s="19" t="str">
        <x:v>project_sources/22-ANN-PMH-012-2566_-_-.-.-2566.pdf</x:v>
      </x:c>
      <x:c r="AC26" s="19" t="str">
        <x:v>PUBLIC</x:v>
      </x:c>
      <x:c r="AD26" s="19" t="str">
        <x:v>TO BE ASSIGNED</x:v>
      </x:c>
      <x:c r="AE26" s="24" t="n">
        <x:v>46287</x:v>
      </x:c>
      <x:c r="AF26" s="27" t="str">
        <x:v>ชื่อเรื่องลงทะเบียนจากชื่อไฟล์; ต้องตรวจวันที่ประกาศและวันใช้บังคับ</x:v>
      </x:c>
      <x:c r="AG26" s="27" t="str">
        <x:f>IF(COUNTIF($B$5:$B$29,B26)&gt;1,"DUPLICATE","OK")</x:f>
        <x:v>OK</x:v>
      </x:c>
      <x:c r="AH26" s="27" t="str">
        <x:f>IF(OR(B26="",C26="",D26="",N26=""),"MISSING REQUIRED FIELD","READY FOR REVIEW")</x:f>
        <x:v>READY FOR REVIEW</x:v>
      </x:c>
    </x:row>
    <x:row r="27" ht="64" customHeight="1">
      <x:c r="A27" s="24" t="n">
        <x:v>23</x:v>
      </x:c>
      <x:c r="B27" s="19" t="str">
        <x:v>ANN-PMH-013-2564</x:v>
      </x:c>
      <x:c r="C27" s="24" t="str">
        <x:v>ANN</x:v>
      </x:c>
      <x:c r="D27" s="20" t="str">
        <x:v>ประกาศคณะกรรมการส่งเสริมวิทยาศาสตร์ วิจัยและนวัตกรรม เรื่อง มาตรการสนับสนุนทุนสำหรับภาคเอกชน Thailand Business Innovation Research (TBIR) พ.ศ. 2564</x:v>
      </x:c>
      <x:c r="E27" s="20" t="str">
        <x:v>ประกาศมาตรการสนับสนุนทุนภาคเอกชน TBIR พ.ศ. 2564</x:v>
      </x:c>
      <x:c r="F27" s="20" t="str">
        <x:v>คณะกรรมการส่งเสริมวิทยาศาสตร์ วิจัยและนวัตกรรม</x:v>
      </x:c>
      <x:c r="G27" s="19" t="str"/>
      <x:c r="H27" s="21"/>
      <x:c r="I27" s="25" t="n">
        <x:v>2564</x:v>
      </x:c>
      <x:c r="J27" s="21"/>
      <x:c r="K27" s="21"/>
      <x:c r="L27" s="24" t="str"/>
      <x:c r="M27" s="24" t="str">
        <x:v>0.1</x:v>
      </x:c>
      <x:c r="N27" s="24" t="str">
        <x:v>INDEXED</x:v>
      </x:c>
      <x:c r="O27" s="24" t="str">
        <x:v>SOURCE NOT VERIFIED</x:v>
      </x:c>
      <x:c r="P27" s="24" t="str">
        <x:v>SOURCE NOT VERIFIED</x:v>
      </x:c>
      <x:c r="Q27" s="20" t="str">
        <x:v>WS02</x:v>
      </x:c>
      <x:c r="R27" s="20" t="str"/>
      <x:c r="S27" s="20" t="str"/>
      <x:c r="T27" s="20" t="str"/>
      <x:c r="U27" s="20" t="str">
        <x:v>SOURCE NOT VERIFIED</x:v>
      </x:c>
      <x:c r="V27" s="20" t="str">
        <x:v>ANN-PMH-013-2564_ประกาศ-กสว-เรื่องมาตรการสนับสนุนทุนสำหรับภาคเอกชน-TBIR_พ.ศ.-2564.pdf</x:v>
      </x:c>
      <x:c r="W27" s="24" t="str">
        <x:v>23-ANN-PMH-013-2564_-TBIR_-.-.-2564.pdf</x:v>
      </x:c>
      <x:c r="X27" s="24" t="str">
        <x:v>PDF</x:v>
      </x:c>
      <x:c r="Y27" s="26" t="n">
        <x:v>2</x:v>
      </x:c>
      <x:c r="Z27" s="23" t="n">
        <x:v>1680655</x:v>
      </x:c>
      <x:c r="AA27" s="19" t="str">
        <x:v>8416ddd3e8bd351d30c73429f3270e76425892c505f9048f40e2f337133ce584</x:v>
      </x:c>
      <x:c r="AB27" s="19" t="str">
        <x:v>project_sources/23-ANN-PMH-013-2564_-TBIR_-.-.-2564.pdf</x:v>
      </x:c>
      <x:c r="AC27" s="19" t="str">
        <x:v>PUBLIC</x:v>
      </x:c>
      <x:c r="AD27" s="19" t="str">
        <x:v>TO BE ASSIGNED</x:v>
      </x:c>
      <x:c r="AE27" s="24" t="n">
        <x:v>46287</x:v>
      </x:c>
      <x:c r="AF27" s="27" t="str">
        <x:v>ชื่อเรื่องลงทะเบียนจากชื่อไฟล์; ต้องตรวจชื่อภาษาอังกฤษทางการ วันที่ประกาศ และวันใช้บังคับ</x:v>
      </x:c>
      <x:c r="AG27" s="27" t="str">
        <x:f>IF(COUNTIF($B$5:$B$29,B27)&gt;1,"DUPLICATE","OK")</x:f>
        <x:v>OK</x:v>
      </x:c>
      <x:c r="AH27" s="27" t="str">
        <x:f>IF(OR(B27="",C27="",D27="",N27=""),"MISSING REQUIRED FIELD","READY FOR REVIEW")</x:f>
        <x:v>READY FOR REVIEW</x:v>
      </x:c>
    </x:row>
    <x:row r="28" ht="64" customHeight="1">
      <x:c r="A28" s="24" t="n">
        <x:v>24</x:v>
      </x:c>
      <x:c r="B28" s="19" t="str">
        <x:v>GUIDE-PROJ-001-2569</x:v>
      </x:c>
      <x:c r="C28" s="24" t="str">
        <x:v>GUIDE</x:v>
      </x:c>
      <x:c r="D28" s="20" t="str">
        <x:v>TSRI Corporate Visual Reference</x:v>
      </x:c>
      <x:c r="E28" s="20" t="str">
        <x:v>แนวอ้างอิงภาษาภาพองค์กร TSRI</x:v>
      </x:c>
      <x:c r="F28" s="20" t="str">
        <x:v>คณะทำงานโครงการ (ต้องยืนยัน)</x:v>
      </x:c>
      <x:c r="G28" s="19" t="str"/>
      <x:c r="H28" s="21"/>
      <x:c r="I28" s="25" t="n">
        <x:v>2569</x:v>
      </x:c>
      <x:c r="J28" s="21"/>
      <x:c r="K28" s="21"/>
      <x:c r="L28" s="24" t="str"/>
      <x:c r="M28" s="24" t="str">
        <x:v>0.1</x:v>
      </x:c>
      <x:c r="N28" s="24" t="str">
        <x:v>INDEXED</x:v>
      </x:c>
      <x:c r="O28" s="24" t="str">
        <x:v>SOURCE NOT VERIFIED</x:v>
      </x:c>
      <x:c r="P28" s="24" t="str">
        <x:v>SOURCE NOT VERIFIED</x:v>
      </x:c>
      <x:c r="Q28" s="20" t="str">
        <x:v>WS07</x:v>
      </x:c>
      <x:c r="R28" s="20" t="str"/>
      <x:c r="S28" s="20" t="str"/>
      <x:c r="T28" s="20" t="str"/>
      <x:c r="U28" s="20" t="str">
        <x:v>Internal Knowledge File; ระบุว่าไม่ใช่ Official Brand Guideline</x:v>
      </x:c>
      <x:c r="V28" s="20" t="str">
        <x:v>02_TSRI_CORPORATE_VISUAL_REFERENCE.md</x:v>
      </x:c>
      <x:c r="W28" s="24" t="str">
        <x:v>24-02_TSRI_CORPORATE_VISUAL_REFERENCE.md</x:v>
      </x:c>
      <x:c r="X28" s="24" t="str">
        <x:v>MD</x:v>
      </x:c>
      <x:c r="Y28" s="26"/>
      <x:c r="Z28" s="23" t="n">
        <x:v>20940</x:v>
      </x:c>
      <x:c r="AA28" s="19" t="str">
        <x:v>76ba405606bf4eed71bdf3f05deaf884460aa838feac515eedbd50390b028b0b</x:v>
      </x:c>
      <x:c r="AB28" s="19" t="str">
        <x:v>project_sources/24-02_TSRI_CORPORATE_VISUAL_REFERENCE.md</x:v>
      </x:c>
      <x:c r="AC28" s="19" t="str">
        <x:v>INTERNAL</x:v>
      </x:c>
      <x:c r="AD28" s="19" t="str">
        <x:v>TO BE ASSIGNED</x:v>
      </x:c>
      <x:c r="AE28" s="24" t="n">
        <x:v>46287</x:v>
      </x:c>
      <x:c r="AF28" s="27" t="str">
        <x:v>DOC-ID ใหม่ที่เสนอใน STEP 4; ต้องตรวจ Duplicate กับทะเบียนเดิมถ้ามี และยืนยันผู้รับผิดชอบ</x:v>
      </x:c>
      <x:c r="AG28" s="27" t="str">
        <x:f>IF(COUNTIF($B$5:$B$29,B28)&gt;1,"DUPLICATE","OK")</x:f>
        <x:v>OK</x:v>
      </x:c>
      <x:c r="AH28" s="27" t="str">
        <x:f>IF(OR(B28="",C28="",D28="",N28=""),"MISSING REQUIRED FIELD","READY FOR REVIEW")</x:f>
        <x:v>READY FOR REVIEW</x:v>
      </x:c>
    </x:row>
    <x:row r="29" ht="64" customHeight="1">
      <x:c r="A29" s="24" t="n">
        <x:v>25</x:v>
      </x:c>
      <x:c r="B29" s="19" t="str">
        <x:v>GUIDE-PROJ-002-2569</x:v>
      </x:c>
      <x:c r="C29" s="24" t="str">
        <x:v>GUIDE</x:v>
      </x:c>
      <x:c r="D29" s="20" t="str">
        <x:v>TSRI AI Corporate Visual Design System — Master Instruction for AI Visual Communication</x:v>
      </x:c>
      <x:c r="E29" s="20" t="str">
        <x:v>Master Instruction ระบบออกแบบ Corporate Visual</x:v>
      </x:c>
      <x:c r="F29" s="20" t="str">
        <x:v>คณะทำงานโครงการ (ต้องยืนยัน)</x:v>
      </x:c>
      <x:c r="G29" s="19" t="str"/>
      <x:c r="H29" s="21"/>
      <x:c r="I29" s="25" t="n">
        <x:v>2569</x:v>
      </x:c>
      <x:c r="J29" s="21"/>
      <x:c r="K29" s="21"/>
      <x:c r="L29" s="24" t="str">
        <x:v>1.0</x:v>
      </x:c>
      <x:c r="M29" s="24" t="str">
        <x:v>0.1</x:v>
      </x:c>
      <x:c r="N29" s="24" t="str">
        <x:v>INDEXED</x:v>
      </x:c>
      <x:c r="O29" s="24" t="str">
        <x:v>SOURCE NOT VERIFIED</x:v>
      </x:c>
      <x:c r="P29" s="24" t="str">
        <x:v>SOURCE NOT VERIFIED</x:v>
      </x:c>
      <x:c r="Q29" s="20" t="str">
        <x:v>WS07</x:v>
      </x:c>
      <x:c r="R29" s="20" t="str">
        <x:v>GUIDE-PROJ-001-2569</x:v>
      </x:c>
      <x:c r="S29" s="20" t="str"/>
      <x:c r="T29" s="20" t="str"/>
      <x:c r="U29" s="20" t="str">
        <x:v>Internal Master Instruction; Version 1.0</x:v>
      </x:c>
      <x:c r="V29" s="20" t="str">
        <x:v>00_INSTRUCTION_TSRI_AI_CORPORATE_VISUAL_DESIGN_SYSTEM.md</x:v>
      </x:c>
      <x:c r="W29" s="24" t="str">
        <x:v>25-00_INSTRUCTION_TSRI_AI_CORPORATE_VISUAL_DESIGN_SYSTEM.md</x:v>
      </x:c>
      <x:c r="X29" s="24" t="str">
        <x:v>MD</x:v>
      </x:c>
      <x:c r="Y29" s="26"/>
      <x:c r="Z29" s="23" t="n">
        <x:v>44782</x:v>
      </x:c>
      <x:c r="AA29" s="19" t="str">
        <x:v>1cca928df04c7d2a440d210e5916ef6c43417c153ef844f516f10f27c104fb82</x:v>
      </x:c>
      <x:c r="AB29" s="19" t="str">
        <x:v>project_sources/25-00_INSTRUCTION_TSRI_AI_CORPORATE_VISUAL_DESIGN_SYSTEM.md</x:v>
      </x:c>
      <x:c r="AC29" s="19" t="str">
        <x:v>INTERNAL</x:v>
      </x:c>
      <x:c r="AD29" s="19" t="str">
        <x:v>TO BE ASSIGNED</x:v>
      </x:c>
      <x:c r="AE29" s="24" t="n">
        <x:v>46287</x:v>
      </x:c>
      <x:c r="AF29" s="27" t="str">
        <x:v>DOC-ID ใหม่ที่เสนอใน STEP 4; ต้องตรวจ Duplicate กับทะเบียนเดิมถ้ามี และยืนยันสถานะอนุมัติ</x:v>
      </x:c>
      <x:c r="AG29" s="27" t="str">
        <x:f>IF(COUNTIF($B$5:$B$29,B29)&gt;1,"DUPLICATE","OK")</x:f>
        <x:v>OK</x:v>
      </x:c>
      <x:c r="AH29" s="27" t="str">
        <x:f>IF(OR(B29="",C29="",D29="",N29=""),"MISSING REQUIRED FIELD","READY FOR REVIEW")</x:f>
        <x:v>READY FOR REVIEW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</x:sheetData>
  <x:mergeCells>
    <x:mergeCell ref="A1:AH1"/>
    <x:mergeCell ref="A2:AH2"/>
  </x:mergeCells>
  <x:conditionalFormatting sqref="N5:N29">
    <x:cfRule type="containsText" dxfId="0" priority="1" operator="containsText" text="INDEXED"/>
  </x:conditionalFormatting>
  <x:conditionalFormatting sqref="O5:O29">
    <x:cfRule type="containsText" dxfId="1" priority="2" operator="containsText" text="SOURCE NOT VERIFIED"/>
  </x:conditionalFormatting>
  <x:conditionalFormatting sqref="P5:P29">
    <x:cfRule type="containsText" dxfId="2" priority="3" operator="containsText" text="SOURCE NOT VERIFIED"/>
  </x:conditionalFormatting>
  <x:conditionalFormatting sqref="AG5:AG29">
    <x:cfRule type="containsText" dxfId="3" priority="4" operator="containsText" text="DUPLICATE"/>
  </x:conditionalFormatting>
  <x:conditionalFormatting sqref="AH5:AH29">
    <x:cfRule type="containsText" dxfId="4" priority="5" operator="containsText" text="MISSING"/>
  </x:conditionalFormatting>
  <x:dataValidations count="3">
    <x:dataValidation type="list" sqref="C5:C29">
      <x:formula1>"LAW,REG,ANN,RULE,RES,ORD,GUIDE,FORM,TOR,MOM,REP,EVD,REV,DEL"</x:formula1>
    </x:dataValidation>
    <x:dataValidation type="list" sqref="N5:N29">
      <x:formula1>"RAW,INDEXED,UNDER_REVIEW,VERIFIED,VALIDATED,SUPERSEDED,REPEALED,ARCHIVED"</x:formula1>
    </x:dataValidation>
    <x:dataValidation type="list" sqref="O5:O29">
      <x:formula1>"SOURCE NOT VERIFIED,VERIFIED,EXPERT VALIDATION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3eceadc0cb47d5"/>
  </x:tableParts>
</x:worksheet>
</file>

<file path=xl/worksheets/sheet3.xml><?xml version="1.0" encoding="utf-8"?>
<x:worksheet xmlns:x="http://schemas.openxmlformats.org/spreadsheetml/2006/main">
  <x:sheetPr>
    <x:tabColor rgb="FF168A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2" hidden="0" customWidth="1"/>
    <x:col min="3" max="3" width="14" hidden="0" customWidth="1"/>
    <x:col min="4" max="4" width="58" hidden="0" customWidth="1"/>
  </x:cols>
  <x:sheetData>
    <x:row r="1" ht="30" customHeight="1">
      <x:c r="A1" s="100" t="str">
        <x:v>Field</x:v>
      </x:c>
      <x:c r="B1" s="100" t="str">
        <x:v>ความหมาย</x:v>
      </x:c>
      <x:c r="C1" s="100" t="str">
        <x:v>Required</x:v>
      </x:c>
      <x:c r="D1" s="100" t="str">
        <x:v>Rule / Example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38" customHeight="1">
      <x:c r="A2" s="66" t="str">
        <x:v>DOC_ID</x:v>
      </x:c>
      <x:c r="B2" s="67" t="str">
        <x:v>รหัสเอกสารกลางและ Primary Key</x:v>
      </x:c>
      <x:c r="C2" s="67" t="str">
        <x:v>YES</x:v>
      </x:c>
      <x:c r="D2" s="68" t="str">
        <x:v>ห้ามซ้ำ; ใช้ Prefix ตาม Document Governance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38" customHeight="1">
      <x:c r="A3" s="69" t="str">
        <x:v>Document_Type</x:v>
      </x:c>
      <x:c r="B3" s="70" t="str">
        <x:v>ประเภทเอกสาร</x:v>
      </x:c>
      <x:c r="C3" s="70" t="str">
        <x:v>YES</x:v>
      </x:c>
      <x:c r="D3" s="71" t="str">
        <x:v>LAW, REG, ANN, RULE, RES, ORD, GUIDE, FORM, TOR, MOM, REP, EVD, REV, DEL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38" customHeight="1">
      <x:c r="A4" s="69" t="str">
        <x:v>Official_Title_TH</x:v>
      </x:c>
      <x:c r="B4" s="70" t="str">
        <x:v>ชื่อทางการภาษาไทย</x:v>
      </x:c>
      <x:c r="C4" s="70" t="str">
        <x:v>YES</x:v>
      </x:c>
      <x:c r="D4" s="71" t="str">
        <x:v>ต้องตรวจจากเอกสารต้นทาง ไม่ใช้ชื่อไฟล์แทนโดยอัตโนมัติ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38" customHeight="1">
      <x:c r="A5" s="69" t="str">
        <x:v>Source_Version</x:v>
      </x:c>
      <x:c r="B5" s="70" t="str">
        <x:v>Version ที่ปรากฏในชื่อไฟล์/เนื้อหา</x:v>
      </x:c>
      <x:c r="C5" s="70" t="str">
        <x:v>NO</x:v>
      </x:c>
      <x:c r="D5" s="71" t="str">
        <x:v>ไม่เท่ากับ Legal Effect Status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 ht="38" customHeight="1">
      <x:c r="A6" s="69" t="str">
        <x:v>Register_Record_Version</x:v>
      </x:c>
      <x:c r="B6" s="70" t="str">
        <x:v>Version ของ Record ในทะเบียน</x:v>
      </x:c>
      <x:c r="C6" s="70" t="str">
        <x:v>YES</x:v>
      </x:c>
      <x:c r="D6" s="71" t="str">
        <x:v>เริ่มต้น 0.1; เปลี่ยนเป็น 1.0 เมื่ออนุมัติ/รับรอง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 ht="38" customHeight="1">
      <x:c r="A7" s="69" t="str">
        <x:v>Document_Status</x:v>
      </x:c>
      <x:c r="B7" s="70" t="str">
        <x:v>สถานะควบคุมเอกสาร</x:v>
      </x:c>
      <x:c r="C7" s="70" t="str">
        <x:v>YES</x:v>
      </x:c>
      <x:c r="D7" s="71" t="str">
        <x:v>RAW → INDEXED → UNDER_REVIEW → VERIFIED → VALIDATED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 ht="38" customHeight="1">
      <x:c r="A8" s="69" t="str">
        <x:v>Source_Verification</x:v>
      </x:c>
      <x:c r="B8" s="70" t="str">
        <x:v>สถานะการยืนยันแหล่งที่มา</x:v>
      </x:c>
      <x:c r="C8" s="70" t="str">
        <x:v>YES</x:v>
      </x:c>
      <x:c r="D8" s="71" t="str">
        <x:v>SOURCE NOT VERIFIED จนกว่าจะตรวจจากแหล่งทางการ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 ht="38" customHeight="1">
      <x:c r="A9" s="69" t="str">
        <x:v>Legal_Effect_Status</x:v>
      </x:c>
      <x:c r="B9" s="70" t="str">
        <x:v>สถานะการใช้บังคับทางกฎหมาย</x:v>
      </x:c>
      <x:c r="C9" s="70" t="str">
        <x:v>YES</x:v>
      </x:c>
      <x:c r="D9" s="71" t="str">
        <x:v>ห้ามอนุมานจากวันที่ไฟล์หรือ Version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 ht="38" customHeight="1">
      <x:c r="A10" s="69" t="str">
        <x:v>Related_Workstream</x:v>
      </x:c>
      <x:c r="B10" s="70" t="str">
        <x:v>Workstream ที่เกี่ยวข้อง</x:v>
      </x:c>
      <x:c r="C10" s="70" t="str">
        <x:v>YES</x:v>
      </x:c>
      <x:c r="D10" s="71" t="str">
        <x:v>WS01–WS07; หลายค่าใช้ ; คั่น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 ht="38" customHeight="1">
      <x:c r="A11" s="69" t="str">
        <x:v>Parent_DOC_ID</x:v>
      </x:c>
      <x:c r="B11" s="70" t="str">
        <x:v>ฉบับฐาน/ชุดแม่</x:v>
      </x:c>
      <x:c r="C11" s="70" t="str">
        <x:v>NO</x:v>
      </x:c>
      <x:c r="D11" s="71" t="str">
        <x:v>ใช้เชื่อมฉบับแก้ไขเพิ่มเติมกับฉบับหลัก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 ht="38" customHeight="1">
      <x:c r="A12" s="69" t="str">
        <x:v>Amends_DOC_ID</x:v>
      </x:c>
      <x:c r="B12" s="70" t="str">
        <x:v>DOC-ID ที่เอกสารนี้แก้ไข</x:v>
      </x:c>
      <x:c r="C12" s="70" t="str">
        <x:v>NO</x:v>
      </x:c>
      <x:c r="D12" s="71" t="str">
        <x:v>หลายค่าใช้ ; คั่น และต้องตรวจเนื้อหาจริง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 ht="38" customHeight="1">
      <x:c r="A13" s="69" t="str">
        <x:v>Supersedes_DOC_ID</x:v>
      </x:c>
      <x:c r="B13" s="70" t="str">
        <x:v>DOC-ID ที่ถูกแทนที่ทั้งฉบับ</x:v>
      </x:c>
      <x:c r="C13" s="70" t="str">
        <x:v>NO</x:v>
      </x:c>
      <x:c r="D13" s="71" t="str">
        <x:v>อย่าใช้เมื่อเป็นเพียงการแก้ไขบางข้อ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 ht="38" customHeight="1">
      <x:c r="A14" s="69" t="str">
        <x:v>SHA256</x:v>
      </x:c>
      <x:c r="B14" s="70" t="str">
        <x:v>ลายนิ้วมือดิจิทัลของไฟล์</x:v>
      </x:c>
      <x:c r="C14" s="70" t="str">
        <x:v>YES</x:v>
      </x:c>
      <x:c r="D14" s="71" t="str">
        <x:v>ใช้ตรวจว่าไฟล์เปลี่ยนหรือไม่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 ht="38" customHeight="1">
      <x:c r="A15" s="69" t="str">
        <x:v>Duplicate_Check</x:v>
      </x:c>
      <x:c r="B15" s="70" t="str">
        <x:v>สูตรตรวจ DOC-ID ซ้ำ</x:v>
      </x:c>
      <x:c r="C15" s="70" t="str">
        <x:v>AUTO</x:v>
      </x:c>
      <x:c r="D15" s="71" t="str">
        <x:v>DUPLICATE ต้องแก้ก่อน Import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 ht="38" customHeight="1">
      <x:c r="A16" s="72" t="str">
        <x:v>Required_Field_Check</x:v>
      </x:c>
      <x:c r="B16" s="73" t="str">
        <x:v>สูตรตรวจช่องบังคับ</x:v>
      </x:c>
      <x:c r="C16" s="73" t="str">
        <x:v>AUTO</x:v>
      </x:c>
      <x:c r="D16" s="74" t="str">
        <x:v>MISSING REQUIRED FIELD ต้องแก้ก่อน Import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8A2B3"/>
  </x:sheetPr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53" t="str">
        <x:v>Document_Type</x:v>
      </x:c>
      <x:c r="B1" s="53" t="str">
        <x:v>Document_Status</x:v>
      </x:c>
      <x:c r="C1" s="53" t="str">
        <x:v>Source_Verification</x:v>
      </x:c>
      <x:c r="D1" s="53" t="str">
        <x:v>Workstream</x:v>
      </x:c>
      <x:c r="E1" s="53" t="str">
        <x:v>Access_Class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2" customHeight="1">
      <x:c r="A2" s="30" t="str">
        <x:v>LAW</x:v>
      </x:c>
      <x:c r="B2" s="54" t="str">
        <x:v>RAW</x:v>
      </x:c>
      <x:c r="C2" s="54" t="str">
        <x:v>SOURCE NOT VERIFIED</x:v>
      </x:c>
      <x:c r="D2" s="54" t="str">
        <x:v>WS01</x:v>
      </x:c>
      <x:c r="E2" s="31" t="str">
        <x:v>PUBLIC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2" customHeight="1">
      <x:c r="A3" s="32" t="str">
        <x:v>REG</x:v>
      </x:c>
      <x:c r="B3" s="55" t="str">
        <x:v>INDEXED</x:v>
      </x:c>
      <x:c r="C3" s="55" t="str">
        <x:v>VERIFIED</x:v>
      </x:c>
      <x:c r="D3" s="55" t="str">
        <x:v>WS02</x:v>
      </x:c>
      <x:c r="E3" s="33" t="str">
        <x:v>INTERNAL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2" customHeight="1">
      <x:c r="A4" s="32" t="str">
        <x:v>ANN</x:v>
      </x:c>
      <x:c r="B4" s="55" t="str">
        <x:v>UNDER_REVIEW</x:v>
      </x:c>
      <x:c r="C4" s="55" t="str">
        <x:v>EXPERT VALIDATION REQUIRED</x:v>
      </x:c>
      <x:c r="D4" s="55" t="str">
        <x:v>WS03</x:v>
      </x:c>
      <x:c r="E4" s="33" t="str">
        <x:v>RESTRICTED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22" customHeight="1">
      <x:c r="A5" s="32" t="str">
        <x:v>RULE</x:v>
      </x:c>
      <x:c r="B5" s="55" t="str">
        <x:v>VERIFIED</x:v>
      </x:c>
      <x:c r="C5" s="55" t="str"/>
      <x:c r="D5" s="55" t="str">
        <x:v>WS04</x:v>
      </x:c>
      <x:c r="E5" s="33" t="str">
        <x:v>TO BE CONFIRMED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</x:row>
    <x:row r="6" ht="22" customHeight="1">
      <x:c r="A6" s="32" t="str">
        <x:v>RES</x:v>
      </x:c>
      <x:c r="B6" s="55" t="str">
        <x:v>VALIDATED</x:v>
      </x:c>
      <x:c r="C6" s="55" t="str"/>
      <x:c r="D6" s="55" t="str">
        <x:v>WS05</x:v>
      </x:c>
      <x:c r="E6" s="33" t="str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</x:row>
    <x:row r="7" ht="22" customHeight="1">
      <x:c r="A7" s="32" t="str">
        <x:v>ORD</x:v>
      </x:c>
      <x:c r="B7" s="55" t="str">
        <x:v>SUPERSEDED</x:v>
      </x:c>
      <x:c r="C7" s="55" t="str"/>
      <x:c r="D7" s="55" t="str">
        <x:v>WS06</x:v>
      </x:c>
      <x:c r="E7" s="33" t="str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</x:row>
    <x:row r="8" ht="22" customHeight="1">
      <x:c r="A8" s="32" t="str">
        <x:v>GUIDE</x:v>
      </x:c>
      <x:c r="B8" s="55" t="str">
        <x:v>REPEALED</x:v>
      </x:c>
      <x:c r="C8" s="55" t="str"/>
      <x:c r="D8" s="55" t="str">
        <x:v>WS07</x:v>
      </x:c>
      <x:c r="E8" s="33" t="str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</x:row>
    <x:row r="9" ht="22" customHeight="1">
      <x:c r="A9" s="32" t="str">
        <x:v>FORM</x:v>
      </x:c>
      <x:c r="B9" s="55" t="str">
        <x:v>ARCHIVED</x:v>
      </x:c>
      <x:c r="C9" s="55" t="str"/>
      <x:c r="D9" s="55" t="str"/>
      <x:c r="E9" s="33" t="str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</x:row>
    <x:row r="10" ht="22" customHeight="1">
      <x:c r="A10" s="32" t="str">
        <x:v>TOR</x:v>
      </x:c>
      <x:c r="B10" s="55" t="str"/>
      <x:c r="C10" s="55" t="str"/>
      <x:c r="D10" s="55" t="str"/>
      <x:c r="E10" s="33" t="str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</x:row>
    <x:row r="11" ht="22" customHeight="1">
      <x:c r="A11" s="32" t="str">
        <x:v>MOM</x:v>
      </x:c>
      <x:c r="B11" s="55" t="str"/>
      <x:c r="C11" s="55" t="str"/>
      <x:c r="D11" s="55" t="str"/>
      <x:c r="E11" s="33" t="str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</x:row>
    <x:row r="12" ht="22" customHeight="1">
      <x:c r="A12" s="32" t="str">
        <x:v>REP</x:v>
      </x:c>
      <x:c r="B12" s="55" t="str"/>
      <x:c r="C12" s="55" t="str"/>
      <x:c r="D12" s="55" t="str"/>
      <x:c r="E12" s="33" t="str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</x:row>
    <x:row r="13" ht="22" customHeight="1">
      <x:c r="A13" s="32" t="str">
        <x:v>EVD</x:v>
      </x:c>
      <x:c r="B13" s="55" t="str"/>
      <x:c r="C13" s="55" t="str"/>
      <x:c r="D13" s="55" t="str"/>
      <x:c r="E13" s="33" t="str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</x:row>
    <x:row r="14" ht="22" customHeight="1">
      <x:c r="A14" s="32" t="str">
        <x:v>REV</x:v>
      </x:c>
      <x:c r="B14" s="55" t="str"/>
      <x:c r="C14" s="55" t="str"/>
      <x:c r="D14" s="55" t="str"/>
      <x:c r="E14" s="33" t="str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</x:row>
    <x:row r="15" ht="22" customHeight="1">
      <x:c r="A15" s="34" t="str">
        <x:v>DEL</x:v>
      </x:c>
      <x:c r="B15" s="56" t="str"/>
      <x:c r="C15" s="56" t="str"/>
      <x:c r="D15" s="56" t="str"/>
      <x:c r="E15" s="35" t="str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</x:row>
  </x:sheetData>
  <x:pageMargins left="0.7" right="0.7" top="0.75" bottom="0.75" header="0.3" footer="0.3"/>
</x:worksheet>
</file>